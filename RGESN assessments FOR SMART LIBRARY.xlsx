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core" sheetId="1" r:id="rId4"/>
    <sheet state="visible" name="1 Strategy (1)" sheetId="2" r:id="rId5"/>
    <sheet state="visible" name="1 Strategy (2)" sheetId="3" r:id="rId6"/>
    <sheet state="visible" name="2 Specifications (1)" sheetId="4" r:id="rId7"/>
    <sheet state="visible" name="2 Specifications (2)" sheetId="5" r:id="rId8"/>
    <sheet state="visible" name="3 Architecture" sheetId="6" r:id="rId9"/>
    <sheet state="visible" name="4 UX UI (1)" sheetId="7" r:id="rId10"/>
    <sheet state="visible" name="4 UX UI (2)" sheetId="8" r:id="rId11"/>
    <sheet state="visible" name="5 Content" sheetId="9" r:id="rId12"/>
    <sheet state="visible" name="6 Frontend" sheetId="10" r:id="rId13"/>
    <sheet state="visible" name="7 Backend" sheetId="11" r:id="rId14"/>
    <sheet state="visible" name="8 Hosting (1)" sheetId="12" r:id="rId15"/>
    <sheet state="visible" name="8 Hosting (2)" sheetId="13" r:id="rId16"/>
    <sheet state="visible" name="9 Algorithmics" sheetId="14" r:id="rId17"/>
  </sheets>
  <definedNames/>
  <calcPr/>
</workbook>
</file>

<file path=xl/sharedStrings.xml><?xml version="1.0" encoding="utf-8"?>
<sst xmlns="http://schemas.openxmlformats.org/spreadsheetml/2006/main" count="1027" uniqueCount="549">
  <si>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</si>
  <si>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1.0"/>
      </rPr>
      <t xml:space="preserve">Columns to help complete the ecodesign declaration </t>
    </r>
    <r>
      <rPr>
        <rFont val="Arial"/>
        <b val="0"/>
        <color rgb="FFFF0000"/>
        <sz val="11.0"/>
      </rPr>
      <t>(not published in the generated PDF)</t>
    </r>
  </si>
  <si>
    <t>Ecodesign declaration of conformity
SMART LIBRARY
15/11/2025</t>
  </si>
  <si>
    <r>
      <rPr>
        <rFont val="Arial"/>
        <color theme="1"/>
        <sz val="10.0"/>
      </rPr>
      <t xml:space="preserve">This spreadsheet has been produced to make it easier to draw up an ecodesign declaration, as part of the implementation of the general policy framework for the ecodesign of digital services (version 2024). It enables users to draw up their ecodesign declaration (a PDF export is available, which can be used as an ecodesign declaration) and to calculate the service's progress score.
</t>
    </r>
    <r>
      <rPr>
        <rFont val="Arial"/>
        <b/>
        <color theme="1"/>
        <sz val="10.0"/>
      </rPr>
      <t>This .xlsx version (Office Open XML) is intended for Microsoft Excel, OnlyOffice, Google Sheets or Apple Numbers.</t>
    </r>
  </si>
  <si>
    <r>
      <rPr>
        <rFont val="Arial"/>
        <sz val="10.0"/>
      </rPr>
      <t xml:space="preserve">The [to be completed] service implement an ecodesign approach aimed at reducing its environmental footprint. To this end, this declaration was drafted on [date to be completed], as part of the implementation of the General Policy Framework for the Ecodesign of Digital Services (2024 version).  
The General Policy Framework for the Ecodesign of Digital Services, a document produced by Arcep and Arcom in collaboration with ADEME, DINUM, CNIL and Inria, is available on the </t>
    </r>
    <r>
      <rPr>
        <rFont val="Arial"/>
        <color rgb="FF0000FF"/>
        <sz val="10.0"/>
      </rPr>
      <t>Arcep website</t>
    </r>
    <r>
      <rPr>
        <rFont val="Arial"/>
        <sz val="10.0"/>
      </rPr>
      <t xml:space="preserve">.  
Its implementation has four main goals: 
1) Design more sustainable digital services to extend devices’ lifespan; 
2) Promote a mindset of striving for eco-sufficiency in response to online attention-grabbing strategies, to align with international environmental targets; 
3) Decrease the IT resources mobilised over the digital service’s life cycle, including by optimising data traffic and digital infrastructure use; 
4) Increase transparency on the digital service’s environmental footprint.  </t>
    </r>
  </si>
  <si>
    <r>
      <rPr>
        <rFont val="Arial"/>
        <color theme="1"/>
        <sz val="10.0"/>
      </rPr>
      <t>If you use LibreOffice Calc, Collabora Office Calc, Calligra Sheets and Apache OpenOffice Calc, prefer the .ods (OpenDocument 1.3) version of this spreadsheet, available on https://www.arcep.fr/fileadmin/user_upload/nos-sujets/environnement/rgesn_2024_ecodesign_declaration_tool</t>
    </r>
    <r>
      <rPr>
        <rFont val="Arial"/>
        <b/>
        <color theme="1"/>
        <sz val="10.0"/>
      </rPr>
      <t>.ods</t>
    </r>
    <r>
      <rPr>
        <rFont val="Arial"/>
        <color theme="1"/>
        <sz val="10.0"/>
      </rPr>
      <t xml:space="preserve">
</t>
    </r>
    <r>
      <rPr>
        <rFont val="Arial"/>
        <b/>
        <color theme="1"/>
        <sz val="10.0"/>
      </rPr>
      <t xml:space="preserve">
The left-hand side (white or grey background)</t>
    </r>
    <r>
      <rPr>
        <rFont val="Arial"/>
        <color theme="1"/>
        <sz val="10.0"/>
      </rPr>
      <t xml:space="preserve"> of each sheet corresponds to the content of a page when the PDF is generated. The text in square brackets on the ‘Progress Score’ sheet and the empty boxes on the following sheets must be filled in. This 14-page PDF is now ready for publication as an ecodesign declaration. 
</t>
    </r>
    <r>
      <rPr>
        <rFont val="Arial"/>
        <b/>
        <color theme="1"/>
        <sz val="10.0"/>
      </rPr>
      <t>The central part (dark yellow background)</t>
    </r>
    <r>
      <rPr>
        <rFont val="Arial"/>
        <color theme="1"/>
        <sz val="10.0"/>
      </rPr>
      <t xml:space="preserve"> is outside the area used to generate the PDF. Some boxes are for internal use (‘Level of difficulty’, ‘Actions to be taken’, ‘Who does?’, ‘For when?’): you should only complete these boxes if it will help you to progress or complete the declaration. 
</t>
    </r>
    <r>
      <rPr>
        <rFont val="Arial"/>
        <b/>
        <color theme="1"/>
        <sz val="10.0"/>
      </rPr>
      <t>The right-hand side (light yellow background)</t>
    </r>
    <r>
      <rPr>
        <rFont val="Arial"/>
        <color theme="1"/>
        <sz val="10.0"/>
      </rPr>
      <t xml:space="preserve"> contains boxes to help you assess the criteria, examples of ecodesign declarations or boxes giving information on the score awarded on the basis of the assessment completed in the left-hand section. These boxes are not published in the generated PDF.</t>
    </r>
  </si>
  <si>
    <r>
      <rPr>
        <rFont val="Arial"/>
        <b/>
        <color theme="1"/>
        <sz val="10.0"/>
      </rPr>
      <t>Instructions for generating the ecodesign declaration PDF with Microsoft Excel:</t>
    </r>
    <r>
      <rPr>
        <rFont val="Arial"/>
        <color theme="1"/>
        <sz val="10.0"/>
      </rPr>
      <t xml:space="preserve">
In the "File" menu, click on "Export" then "Create PDF". In the window that appears, click on "Options...". There are 4 boxes to check:
   1/ in "Content to publish": check the "Entire workbook" button to create a PDF with the 14 sheets of this document;
   2/ in "Include non-printable information": check the "Structure tags for accessibility" box to make the PDF more accessible;
   3/ in "PDF Option": check the "PDF/A compatible" box.
Click on "OK", then on "Publish", the 14-page PDF is created, ready to be published.</t>
    </r>
  </si>
  <si>
    <t>Name of service evaluated</t>
  </si>
  <si>
    <t>Smart Library</t>
  </si>
  <si>
    <t>Samples used to establish ecodesign diagnosis</t>
  </si>
  <si>
    <t>Project documentation, architecture diagrams, UI mock-ups, backend logic, and team technical notes</t>
  </si>
  <si>
    <t>Entity carrying out the valuation</t>
  </si>
  <si>
    <t>Student development team – Smart Library</t>
  </si>
  <si>
    <t>Name of the person responsible for this assessment</t>
  </si>
  <si>
    <t xml:space="preserve">Mintesnot Nigusu YIMER And Moeez Ahmed </t>
  </si>
  <si>
    <t>Global Progress Score</t>
  </si>
  <si>
    <t>Total score</t>
  </si>
  <si>
    <t>Total denominator</t>
  </si>
  <si>
    <t>Date of evaluation</t>
  </si>
  <si>
    <t>15/11/2025</t>
  </si>
  <si>
    <t>Score by theme :</t>
  </si>
  <si>
    <t>Score by theme (total)</t>
  </si>
  <si>
    <t>Denominator by theme (total)</t>
  </si>
  <si>
    <t>Score by page (1)</t>
  </si>
  <si>
    <t>Score by page (2)</t>
  </si>
  <si>
    <t>Denominator by page (1)</t>
  </si>
  <si>
    <t>Denominator by page (2)</t>
  </si>
  <si>
    <r>
      <rPr>
        <rFont val="Arial"/>
        <b/>
        <color theme="1"/>
        <sz val="11.0"/>
      </rPr>
      <t xml:space="preserve">1 – Strategy
</t>
    </r>
    <r>
      <rPr>
        <rFont val="Arial"/>
        <b val="0"/>
        <color theme="1"/>
        <sz val="10.0"/>
      </rPr>
      <t xml:space="preserve">       (details page 2 and page 3)</t>
    </r>
  </si>
  <si>
    <r>
      <rPr>
        <rFont val="Arial"/>
        <b/>
        <color theme="1"/>
        <sz val="11.0"/>
      </rPr>
      <t xml:space="preserve">2 – Specifications
</t>
    </r>
    <r>
      <rPr>
        <rFont val="Arial"/>
        <b val="0"/>
        <color theme="1"/>
        <sz val="10.0"/>
      </rPr>
      <t xml:space="preserve">       (details page 4 and page 5)</t>
    </r>
  </si>
  <si>
    <r>
      <rPr>
        <rFont val="Arial"/>
        <b/>
        <color theme="1"/>
        <sz val="11.0"/>
      </rPr>
      <t xml:space="preserve">3 – Architecture
</t>
    </r>
    <r>
      <rPr>
        <rFont val="Arial"/>
        <b val="0"/>
        <color theme="1"/>
        <sz val="10.0"/>
      </rPr>
      <t xml:space="preserve">       (details page 6)</t>
    </r>
  </si>
  <si>
    <r>
      <rPr>
        <rFont val="Arial"/>
        <b/>
        <color theme="1"/>
        <sz val="11.0"/>
      </rPr>
      <t xml:space="preserve">4 – User Experience and Interface
</t>
    </r>
    <r>
      <rPr>
        <rFont val="Arial"/>
        <b val="0"/>
        <color theme="1"/>
        <sz val="10.0"/>
      </rPr>
      <t xml:space="preserve">       (details page 7 and page 8)</t>
    </r>
  </si>
  <si>
    <r>
      <rPr>
        <rFont val="Arial"/>
        <b/>
        <color theme="1"/>
        <sz val="11.0"/>
      </rPr>
      <t xml:space="preserve">5 – Content
</t>
    </r>
    <r>
      <rPr>
        <rFont val="Arial"/>
        <b val="0"/>
        <color theme="1"/>
        <sz val="10.0"/>
      </rPr>
      <t xml:space="preserve">       (details page 9)</t>
    </r>
  </si>
  <si>
    <r>
      <rPr>
        <rFont val="Arial"/>
        <b/>
        <color theme="1"/>
        <sz val="11.0"/>
      </rPr>
      <t xml:space="preserve">6 – Frontend
</t>
    </r>
    <r>
      <rPr>
        <rFont val="Arial"/>
        <b val="0"/>
        <color theme="1"/>
        <sz val="10.0"/>
      </rPr>
      <t xml:space="preserve">       (details page 10)</t>
    </r>
  </si>
  <si>
    <r>
      <rPr>
        <rFont val="Arial"/>
        <b/>
        <color theme="1"/>
        <sz val="11.0"/>
      </rPr>
      <t xml:space="preserve">7 – Backend
</t>
    </r>
    <r>
      <rPr>
        <rFont val="Arial"/>
        <b val="0"/>
        <color theme="1"/>
        <sz val="10.0"/>
      </rPr>
      <t xml:space="preserve">       (details page 11)</t>
    </r>
  </si>
  <si>
    <r>
      <rPr>
        <rFont val="Arial"/>
        <b/>
        <color theme="1"/>
        <sz val="11.0"/>
      </rPr>
      <t xml:space="preserve">8 – Hosting
</t>
    </r>
    <r>
      <rPr>
        <rFont val="Arial"/>
        <b val="0"/>
        <color theme="1"/>
        <sz val="10.0"/>
      </rPr>
      <t xml:space="preserve">       (details page 12 and page 13)</t>
    </r>
  </si>
  <si>
    <r>
      <rPr>
        <rFont val="Arial"/>
        <b/>
        <color theme="1"/>
        <sz val="11.0"/>
      </rPr>
      <t xml:space="preserve">9 – Algorithmics
</t>
    </r>
    <r>
      <rPr>
        <rFont val="Arial"/>
        <b val="0"/>
        <color theme="1"/>
        <sz val="10.0"/>
      </rPr>
      <t xml:space="preserve">       (details page 14)</t>
    </r>
  </si>
  <si>
    <r>
      <rPr>
        <rFont val="Arial"/>
        <b/>
        <color theme="1"/>
        <sz val="11.0"/>
      </rPr>
      <t xml:space="preserve">Progress score from previous assessments
</t>
    </r>
    <r>
      <rPr>
        <rFont val="Arial"/>
        <b val="0"/>
        <color theme="1"/>
        <sz val="11.0"/>
      </rPr>
      <t xml:space="preserve">
No previous RGESN assessments have been conducted for this service.
</t>
    </r>
    <r>
      <rPr>
        <rFont val="Calibri"/>
        <b val="0"/>
        <color theme="1"/>
        <sz val="11.0"/>
      </rPr>
      <t>The Smart Library digital service aims to improve this progress score to 90% compliance in 2027.</t>
    </r>
  </si>
  <si>
    <r>
      <rPr>
        <rFont val="Arial"/>
        <b/>
        <color theme="1"/>
        <sz val="10.0"/>
      </rPr>
      <t xml:space="preserve">The progress score is calculated as follows: 
</t>
    </r>
    <r>
      <rPr>
        <rFont val="Arial"/>
        <b val="0"/>
        <color theme="1"/>
        <sz val="10.0"/>
      </rPr>
      <t>[SUM OF VALIDATED CRITERIA WITH WEIGHTING / TOTAL POINTS OF APPLICABLE CRITERIA WITH WEIGHTING ] x 100 
i.e. : 
[ Number of validated ‘Top priority’ criteria x 1.5
+ Number of validated ‘Recommended’ criteria x 1.25 
+ Number of validated ‘Moderate’ criteria / Number of validated and non-validated applicable ‘Top priority’ criteria x 1.5 
+ Number of validated and non-validated applicable ‘Recommended’ criteria x 1.25 
+ Number of validated and non-validated applicable ‘Moderate’ criteria ] x 100</t>
    </r>
  </si>
  <si>
    <r>
      <rPr>
        <rFont val="Arial"/>
        <b/>
        <color theme="1"/>
        <sz val="11.0"/>
      </rPr>
      <t xml:space="preserve">Progress plan for the digital service ecodesign approach
</t>
    </r>
    <r>
      <rPr>
        <rFont val="Arial"/>
        <b val="0"/>
        <color theme="1"/>
        <sz val="11.0"/>
      </rPr>
      <t xml:space="preserve">
In addition, the following courses of action have been or will be implemented:
• Improve navigation efficiency (4.3)
• Add notification preferences (4.13)
• Define log retention periods (7.2)
• Implement lightweight caching (9.7)
To this end, reviews and audits are carried out every 12 months.</t>
    </r>
  </si>
  <si>
    <t>.ods file (OpenDocument 1.3) created with LibreOffice Calc 7.6, on 6 May 2024 by Arcep.</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</si>
  <si>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</si>
  <si>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</si>
  <si>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</si>
  <si>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t>ID</t>
  </si>
  <si>
    <t>Name of the criteria</t>
  </si>
  <si>
    <t>Level of
priority</t>
  </si>
  <si>
    <t>Evaluation</t>
  </si>
  <si>
    <t>Date of
Evaluation</t>
  </si>
  <si>
    <t>Potential
developments</t>
  </si>
  <si>
    <t>Level of
difficulty</t>
  </si>
  <si>
    <t>Actions to be taken</t>
  </si>
  <si>
    <t>Who does ?</t>
  </si>
  <si>
    <t xml:space="preserve">For when ? </t>
  </si>
  <si>
    <t>Score
By ID</t>
  </si>
  <si>
    <t>Denominator</t>
  </si>
  <si>
    <t>Target</t>
  </si>
  <si>
    <r>
      <rPr>
        <rFont val="Arial"/>
        <b/>
        <color rgb="FFFFFFFF"/>
        <sz val="10.0"/>
      </rPr>
      <t xml:space="preserve">Summary of the means of testing or checking 
</t>
    </r>
    <r>
      <rPr>
        <rFont val="Arial"/>
        <b val="0"/>
        <color rgb="FFFFFFFF"/>
        <sz val="10.0"/>
      </rPr>
      <t>(consult the RGESN for the full version)</t>
    </r>
  </si>
  <si>
    <t>1 – Stratégy (1/2)</t>
  </si>
  <si>
    <t>1.1</t>
  </si>
  <si>
    <t>Has the digital service been assessed favourably in terms of utility by taking its impact on the environment into account?</t>
  </si>
  <si>
    <t>Top priority</t>
  </si>
  <si>
    <t>Validated</t>
  </si>
  <si>
    <t>Improve documentation of environmental benefits and refine the comparison with non-digital alternatives.</t>
  </si>
  <si>
    <t>High</t>
  </si>
  <si>
    <t>Applicable to all services</t>
  </si>
  <si>
    <t>Utility was assessed using RGESN 1.1 guidelines: identification of SDGs, comparison with non-digital alternatives, confirmation of user needs, and validation that the service provides more value than the resources it consumes.</t>
  </si>
  <si>
    <t>The service Smart Library has been favourably assessed in terms of its utility, taking into account SDG 11 and SDG 12.
Indeed, the service enables better use of study spaces, reduces unnecessary student movement, and limits energy waste by improving the management of room occupancy.</t>
  </si>
  <si>
    <t>1.2</t>
  </si>
  <si>
    <t xml:space="preserve">Has the digital service defined its target users, the target users’ actual job-related needs and expectations? </t>
  </si>
  <si>
    <t>Conduct a more formal user survey to refine personas and confirm evolving needs.</t>
  </si>
  <si>
    <t>Low</t>
  </si>
  <si>
    <t>User needs were analysed through simple interviews and observation of real study-room usage patterns. This confirms that the target users and their expectations are well understood, satisfying RGESN 1.2 requirements.</t>
  </si>
  <si>
    <t>The service Smart Library has clearly identified its primary users (students) and secondary users (library staff). Their main need—quickly finding an available study room—was validated during project discussions and direct observation. The service design focuses only on features that respond to these needs.</t>
  </si>
  <si>
    <t>1.3</t>
  </si>
  <si>
    <t>Does the digital service have at least one identified ecodesign supervisor?</t>
  </si>
  <si>
    <t>Recommanded</t>
  </si>
  <si>
    <t>Document the supervisor’s responsibilities more formally and update them each semester</t>
  </si>
  <si>
    <t>Validation is based on naming the ecodesign supervisor in project documentation, in line with RGESN requirements. The role and responsibilities are recorded and accessible, fulfilling the need for a designated person to oversee ecodesign within the service.</t>
  </si>
  <si>
    <t>The service Smart Library has an identified ecodesign supervisor responsible for promoting sustainable practices during development. This role ensures consistency in ecodesign decisions and supports the team in applying RGESN best practices.</t>
  </si>
  <si>
    <t>1.4</t>
  </si>
  <si>
    <t xml:space="preserve">Does the digital service perform regular reviews to check the compliance of its ecodesign strategy? </t>
  </si>
  <si>
    <t>Plan a simple annual ecodesign review to update the declaration and track improvements.</t>
  </si>
  <si>
    <t>Medium</t>
  </si>
  <si>
    <t>Regular self-assessments based on the RGESN framework confirm compliance. Documentation of these reviews and updates to the ecodesign declaration satisfy the monitoring requirements.</t>
  </si>
  <si>
    <t>The service Smart Library performs informal reviews of its ecodesign practices during development, ensuring that resource use, performance, and sustainability targets remain aligned with RGESN principles.</t>
  </si>
  <si>
    <t>1.5</t>
  </si>
  <si>
    <t xml:space="preserve">Has the digital service set itself goals in terms of reducing or limiting its own environmental impacts? </t>
  </si>
  <si>
    <t>Define simple measurable indicators (e.g., energy use per room monitored) for future tracking.</t>
  </si>
  <si>
    <t>Environmental considerations were reviewed during design, focusing on reduced energy waste in unused rooms and limiting data collection and processing. These goals align with RGESN expectations for defining and monitoring environmental impact objectives.</t>
  </si>
  <si>
    <t>The service Smart Library has set basic goals to reduce environmental impacts by optimising room usage, decreasing unnecessary lighting and heating, and limiting data processing to essential functions. These goals guide design choices toward lower energy and resource consumption.</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</si>
  <si>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</si>
  <si>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</si>
  <si>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</si>
  <si>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</si>
  <si>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1 – Stratégy (2/2)</t>
  </si>
  <si>
    <t>1.6</t>
  </si>
  <si>
    <t>Does the digital service collect data in a responsible and judicious manner?</t>
  </si>
  <si>
    <t>Review data collection annually to ensure no unnecessary new data types are added.</t>
  </si>
  <si>
    <t>Data flows were reviewed to verify that only strictly necessary information is stored or processed, with no profiling or unnecessary metadata. This meets RGESN expectations for responsible, minimized data collection.</t>
  </si>
  <si>
    <t>The service Smart Library collects only essential data (room occupancy signals and basic usage metrics). No personal data or tracking metadata are collected, ensuring minimal resource use and alignment with responsible data practices.</t>
  </si>
  <si>
    <t>1.7</t>
  </si>
  <si>
    <t xml:space="preserve">Does the digital service use an encryption level tailored to its needs? </t>
  </si>
  <si>
    <t>Moderate</t>
  </si>
  <si>
    <t>To evaluate</t>
  </si>
  <si>
    <t>N/A if the service does not use an encryption mechanism</t>
  </si>
  <si>
    <t>If the service relies on encryption mechanisms, document the reasons for choosing to implement them in terms of the service’s IT security risks and the minimisation of the associated environmental footprint, in the service’s Ecodesign declaration of conformity.</t>
  </si>
  <si>
    <t>Cryptographic mechanisms have been put in place to ensure the security of the service's data. The choice was oriented towards [to be completed] technologies following an analysis of IT security risks for the service and of the associated environmental footprint, the public outlines of which are as follows: [to be detailed].</t>
  </si>
  <si>
    <t>1.8</t>
  </si>
  <si>
    <t>Has the digital service taken steps to embrace open source?</t>
  </si>
  <si>
    <t>Document which components could be migrated to open-source alternatives in future versions.</t>
  </si>
  <si>
    <t>The use of open-source tools is visible in the project’s technical documentation, meeting RGESN expectations for transparency and openness.</t>
  </si>
  <si>
    <t>The service Smart Library uses open-source technologies (e.g., frontend frameworks, backend libraries, and standard APIs). These choices reduce vendor lock-in and support long-term maintainability.</t>
  </si>
  <si>
    <t>1.9</t>
  </si>
  <si>
    <t>Has the digital service been designed using standard, interoperable technologies rather than dedicated, closed-source technologies?</t>
  </si>
  <si>
    <t>Maintain interoperability by periodically reviewing dependencies for compatibility with industry standards.</t>
  </si>
  <si>
    <t>A review of the technical stack confirms that only open standards and widely supported protocols are used, aligning with RGESN requirements for interoperability.</t>
  </si>
  <si>
    <t>The service Smart Library is built using standard web technologies (HTML, CSS, JavaScript, REST APIs). No proprietary protocols are required, ensuring interoperability across devices and platforms.</t>
  </si>
  <si>
    <t>1.10</t>
  </si>
  <si>
    <t>Does the digital service use documented and open APIs to interact with the hardware?</t>
  </si>
  <si>
    <t>Continue using simple, documented browser APIs and avoid adding hardware-dependent features.</t>
  </si>
  <si>
    <t>Verification of the codebase shows that only documented browser and web APIs are used. No proprietary or device-specific interfaces are required, satisfying RGESN expectations.</t>
  </si>
  <si>
    <t>The service Smart Library does not rely on proprietary hardware APIs. Any interactions (e.g., display rendering, browser APIs) use standard and documented web interfaces, ensuring compatibility and transparency.</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</si>
  <si>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</si>
  <si>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</si>
  <si>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</si>
  <si>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</si>
  <si>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2 – Specifications (1/2)</t>
  </si>
  <si>
    <t>2.1</t>
  </si>
  <si>
    <t>Has the digital service drawn up a list of the hardware profiles that users will be able to employ to access it?</t>
  </si>
  <si>
    <t>Refine the hardware list with more precise performance thresholds as the service evolves.</t>
  </si>
  <si>
    <t>The service was tested on typical student devices and a low-power display to confirm compatibility. The defined hardware profiles are listed and meet RGESN expectations for documenting supported device categories.</t>
  </si>
  <si>
    <t>The service Smart Library has defined the hardware profiles required to access it, including entry-level laptops, tablets, smartphones, and a low-power display for the dashboard. The service runs on common devices without requiring high-performance hardware</t>
  </si>
  <si>
    <t>2.2</t>
  </si>
  <si>
    <t>Can the digital service be used on older model devices?</t>
  </si>
  <si>
    <t>Test performance on older laptops/tablets every semester to ensure continued compatibility.</t>
  </si>
  <si>
    <t>Tested on low-performance devices to confirm functionality of core features, satisfying the RGESN requirement to support older hardware.</t>
  </si>
  <si>
    <t>The service Smart Library runs smoothly on older laptops and standard student devices, as it relies on lightweight web technologies and simple UI elements.</t>
  </si>
  <si>
    <t>2.3</t>
  </si>
  <si>
    <t>Can the digital service be used with a low-speed connection or offline?</t>
  </si>
  <si>
    <t>Introduce a minimal “text-only” fallback view for extremely weak connections.</t>
  </si>
  <si>
    <t>Basic features were tested on slow connections to ensure acceptable loading times, meeting RGESN low-bandwidth expectations.</t>
  </si>
  <si>
    <t>The service Smart Library remains functional with low-speed connections because it loads minimal data and displays simple occupancy information.</t>
  </si>
  <si>
    <t>2.4</t>
  </si>
  <si>
    <t>Can the digital service be used with older versions of the operating system and web browsers?</t>
  </si>
  <si>
    <t>Maintain browser compatibility testing as new updates are released.</t>
  </si>
  <si>
    <t>Compatibility verified using older browser versions and common university devices.</t>
  </si>
  <si>
    <t>The service Smart Library uses standard browser features and avoids modern, unsupported APIs, ensuring compatibility with older OS and browser versions.</t>
  </si>
  <si>
    <t>2.5</t>
  </si>
  <si>
    <t>Does the digital service adapt to different types of display devices?</t>
  </si>
  <si>
    <t>Improve responsive layout for very small screens.</t>
  </si>
  <si>
    <t>Checked UI layout on multiple screen sizes to confirm consistent readability and usability.</t>
  </si>
  <si>
    <t>The service Smart Library adapts to various displays, including wall screens, laptops, tablets, and smartphones, through responsive web design.</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</si>
  <si>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</si>
  <si>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</si>
  <si>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</si>
  <si>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</si>
  <si>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2 – Specifications (2/2)</t>
  </si>
  <si>
    <t>2.6</t>
  </si>
  <si>
    <t>Has the digital service planned for a design review and a code review whose goals include reducing each feature’s environmental impacts?</t>
  </si>
  <si>
    <t>Add lightweight performance checks to the design review process.</t>
  </si>
  <si>
    <t xml:space="preserve">Verification that essential features are minimal and efficient aligns with RGESN expectations for design/code review. </t>
  </si>
  <si>
    <t>The service Smart Library underwent informal design and code reviews prioritizing simplicity and low resource use for its core features.</t>
  </si>
  <si>
    <t>2.7</t>
  </si>
  <si>
    <t>Has the digital service planned for a maintenance and decommissioning strategy?</t>
  </si>
  <si>
    <t>Document a simple long-term data retention policy.</t>
  </si>
  <si>
    <t xml:space="preserve">The maintenance approach and the ease of removing or updating components satisfy RGESN criteria for long-term planning. </t>
  </si>
  <si>
    <t>The service Smart Library has a basic maintenance strategy relying on standard web technologies, making updates and future decommissioning simple and low impact.</t>
  </si>
  <si>
    <t>2.8</t>
  </si>
  <si>
    <t>Does the digital service require its suppliers to guarantee a strategy to reduce their environmental impacts?</t>
  </si>
  <si>
    <t>Reference the sustainability commitments of any third-party tools used.</t>
  </si>
  <si>
    <t xml:space="preserve">Supplier documentation was checked to confirm sustainability practices, matching RGESN expectations. </t>
  </si>
  <si>
    <t>The service Smart Library relies on university-managed infrastructure and widely used open-source tools whose maintainers publish sustainability and resource-efficiency commitments.</t>
  </si>
  <si>
    <t>2.9</t>
  </si>
  <si>
    <t xml:space="preserve">Has the digital service considered the environmental impacts of the off-the-shelf interface components used? </t>
  </si>
  <si>
    <t>Keep UI libraries minimal and regularly remove unused components.</t>
  </si>
  <si>
    <t xml:space="preserve">Code inspection confirmed that minimal UI components are used, in line with RGESN recommendations. </t>
  </si>
  <si>
    <t>The service Smart Library uses lightweight interface components and avoids heavy UI libraries, reducing client-side resource use.</t>
  </si>
  <si>
    <t>2.10</t>
  </si>
  <si>
    <t xml:space="preserve">Has the digital service considered the environmental impacts of third-party services used when selecting them? </t>
  </si>
  <si>
    <t>Periodically re-evaluate whether any external services can be replaced with lighter alternatives.</t>
  </si>
  <si>
    <t>Third-party services were reviewed to ensure they do not introduce unnecessary processing, aligning with RGESN selection guidelines.</t>
  </si>
  <si>
    <t>The service Smart Library relies on minimal external services, and chosen third-party tools were selected for reliability and low overhead.</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</si>
  <si>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</si>
  <si>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</si>
  <si>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</si>
  <si>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</si>
  <si>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3 – Architecture</t>
  </si>
  <si>
    <t>3.1</t>
  </si>
  <si>
    <t>Is the digital service based on an architecture, resources and components designed to reduce their own environmental impacts?</t>
  </si>
  <si>
    <t>Further simplify data flows to avoid any unnecessary requests.</t>
  </si>
  <si>
    <t>The architecture was reviewed to confirm that only essential components are deployed and that no heavy or unnecessary services are used.</t>
  </si>
  <si>
    <t>The service Smart Library uses a lightweight web architecture, with minimal backend logic and small data exchanges (only room occupancy and basic metadata), reducing computing and network usage.</t>
  </si>
  <si>
    <t>3.2</t>
  </si>
  <si>
    <t>Does the digital service run on an architecture that can tailor resource use to the service’s consumption?</t>
  </si>
  <si>
    <t>Ongoing</t>
  </si>
  <si>
    <t>Introduce simple monitoring to better observe resource consumption as usage grows.</t>
  </si>
  <si>
    <t>Set up simple logging or metrics to monitor request volume and resource usage.</t>
  </si>
  <si>
    <t>Developer or system administrator.</t>
  </si>
  <si>
    <t>Next technical iteration.</t>
  </si>
  <si>
    <t>0</t>
  </si>
  <si>
    <t>1.25</t>
  </si>
  <si>
    <t>Basic analysis of request patterns shows that computation and data transfers happen mainly when users consult the dashboard.</t>
  </si>
  <si>
    <t>Smart Library processes only user-triggered requests (e.g. viewing room occupancy), so resource use already follows real usage, but monitoring could be improved.</t>
  </si>
  <si>
    <t>3.3</t>
  </si>
  <si>
    <t>Can the digital service support protocols’ ongoing technical development?</t>
  </si>
  <si>
    <t>N/A if the digital service does not use an internet connection</t>
  </si>
  <si>
    <t>Check that the digital service’s various components are working properly: 
• in IPv6 and do not use any IPv4-only service, and that the service uses DNS names and not hard coded IP addresses; 
• in HTTPS and not HTTP; • verify that the latest version of TLS (at the time of writing this policy framework: TLS v1.3) is properly supported. 
• Assess the adequacy of the protocol used in relation to the content being transferred, taking into account its environmental footprint. 
The criterion is validated if the choice of protocol used by the service aligns with the type of content and features targeted, while minimising its environmental cost, and is documented, if possible, in the Ecodesign declaration of conformity</t>
  </si>
  <si>
    <t>In order to prevent the risk of obsolescence and limit the need for updates/upgrades, the digital service is based on robust protocols that are adapted to its features. In particular:
# examples #
• The digital service is available in IPV6 (and IPV4)
• The digital service is based on the HTTPS protocol
• The version of TLS used must support the most recent version, i.e. [to be completed - at the time of writing, it is: TLS v1.3] [etc]</t>
  </si>
  <si>
    <t>3.4</t>
  </si>
  <si>
    <t>Does the digital service guarantee the supply of patch updates throughout the entire expected lifespan of the devices and software tied to the service?</t>
  </si>
  <si>
    <t>Maintain a short change log describing applied patches.</t>
  </si>
  <si>
    <t>The update process was examined and confirms that fixes can be deployed centrally, independently of user hardware lifespan.</t>
  </si>
  <si>
    <t>As a web-based service, Smart Library can receive security and maintenance patches directly on the server without requiring users to update their devices or install new versions.</t>
  </si>
  <si>
    <t>3.5</t>
  </si>
  <si>
    <t>Does the digital service provide the ability to install patch updates independently of features updates, in a transparent fashion?</t>
  </si>
  <si>
    <t>N/A if the digital service does not provide (nonessential) features updates</t>
  </si>
  <si>
    <t>To validate this criterion: 
• Indicate in an application's update description (changelog) when it is a security or maintenance update ("hotfixes") or if it is a rolling update that adds functionality. 
• Ensure that features updates that are not critical to service compliance do not prevent the service from operating for any maintenance period for supported operating systems. 
• Whenever possible, ensure that updates that are essential to the digital service or user device’s compliance and security can be installed separately from features updates that are not necessary for the product’s compliance. 
• If possible, check for the presence of a release management strategy with “Long term support” releases.</t>
  </si>
  <si>
    <t>3.6</t>
  </si>
  <si>
    <t>Does the digital service offer incremental updates, to avoid replacing the entire code with each update?</t>
  </si>
  <si>
    <t>N/A if the digital service does not provide updates</t>
  </si>
  <si>
    <t>Whenever possible, use an update mechanism that does not require replacing the program’s entire code with each update. 
If necessary, a full update of the program code can be provided for "reset" or "self-healing" features. 
The criterion is validated if incremental updates are favoured for the digital service, aside from "reset" and "self-healing" features.</t>
  </si>
  <si>
    <t>3.7</t>
  </si>
  <si>
    <t xml:space="preserve">Does the digital service optimise the use of development, preproduction and test environments according to its needs? </t>
  </si>
  <si>
    <t>N/A if the digital service does not use a server</t>
  </si>
  <si>
    <t>The criterion is validated if the service relies on multi-tenant development/pre-production/test environments, or if these environments are disabled during time slots when they are not used. Indicate the choices made to limit the resources used by the development, pre-production or test environments in the digital service’s Ecodesign declaration of conformity.</t>
  </si>
  <si>
    <t>Development, pre-production or test environments are disabled at night, during the periods when they are not in use / the digital service rely on multi-tenant development, pre-production or test environments. [to be detailed]</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</si>
  <si>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</si>
  <si>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</si>
  <si>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</si>
  <si>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</si>
  <si>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4 – User Experience and Interface (1/2)</t>
  </si>
  <si>
    <t>4.1</t>
  </si>
  <si>
    <t>Does the digital service only have animations, videos and sounds whose automatic playback is disabled?</t>
  </si>
  <si>
    <t>Ensure no future UI elements autoplay media.</t>
  </si>
  <si>
    <t>UI review confirms no autoplay elements.</t>
  </si>
  <si>
    <t>Smart Library includes no videos, sounds, or animations that autoplay.</t>
  </si>
  <si>
    <t>4.2</t>
  </si>
  <si>
    <t>Does the digital service only display content without infinite scroll?</t>
  </si>
  <si>
    <t>Avoid adding long lists that require dynamic scrolling.</t>
  </si>
  <si>
    <t>Screens were checked to confirm the absence of infinite scrolling.</t>
  </si>
  <si>
    <t>The dashboard shows static information without scrolling lists.</t>
  </si>
  <si>
    <t>4.3</t>
  </si>
  <si>
    <t>Does the digital service optimise the clickstream for each main feature?</t>
  </si>
  <si>
    <t>Simplify navigation to reduce the number of steps to access each room.</t>
  </si>
  <si>
    <t>Review and reduce unnecessary steps.</t>
  </si>
  <si>
    <t>Frontend or UX/UI developer.</t>
  </si>
  <si>
    <t>Next iteration.</t>
  </si>
  <si>
    <t>Walkthroughs show short paths with room for improvement.</t>
  </si>
  <si>
    <t>The navigation is simple, but some flows can be shortened.</t>
  </si>
  <si>
    <t>4.4</t>
  </si>
  <si>
    <t>Does the digital service give users the ability to enable a thirdparty service?</t>
  </si>
  <si>
    <t>Not validated</t>
  </si>
  <si>
    <t>Add toggles if optional external services appear in future versions.</t>
  </si>
  <si>
    <t>None (not in project scope).</t>
  </si>
  <si>
    <t>Code review confirms no user-controlled third-party services.</t>
  </si>
  <si>
    <t>Smart Library integrates no optional third-party services, so users cannot enable or disable any.</t>
  </si>
  <si>
    <t>4.5</t>
  </si>
  <si>
    <t>Does the digital service use mainly functional components that are native to the operating system, browser or language used?</t>
  </si>
  <si>
    <t>The criterion is validated if the service favours the use of native functional components where possible. 
Furthermore, in the event of the use of non-native components, assess the need to have chosen to use such components (technical constraints, for instance). If applicable, document the reasons for using them in the Ecodesign declaration of conformity. Their use should be regularly monitored by verifying the content of the resources loaded and their actual use.</t>
  </si>
  <si>
    <t>The digital service interface is based mainly on functional components. 
The use of non-native components is justified in terms of [to be completed].</t>
  </si>
  <si>
    <t>4.6</t>
  </si>
  <si>
    <t>Does the digital service use only video, audio and animated content that contains information?</t>
  </si>
  <si>
    <t>Maintain no-media or minimal-media approach.</t>
  </si>
  <si>
    <t>Interface review confirmed no video, audio, or animations.</t>
  </si>
  <si>
    <t>The service uses only static content; no decorative media is present.</t>
  </si>
  <si>
    <t>4.7</t>
  </si>
  <si>
    <t>Does the digital service opt for the most sustainable choices between text, images, audio and video, according to users’ needs?</t>
  </si>
  <si>
    <t>The criterion is validated if the service does not use video, audio or animated content or if the use of video, audio or animation has been decided by opting for the most sustainable solution available, with regard to the service’s needs and essential features. The choices made must be substantiated in a public document (e.g. in the Ecodesign declaration of conformity). The substantiation will take into account target users’ needs (refer to criterion 1.2.) and the environmental impact of the chosen audiovisual content.</t>
  </si>
  <si>
    <t>Consistent with the user targets identified [if necessary, refer to the dedicated section of the declaration] and the differentiated environmental impact of audiovisual content, the following choices have been made with regard to the use of text, images, audio or video: [to be detailed].</t>
  </si>
  <si>
    <t>4.8</t>
  </si>
  <si>
    <t xml:space="preserve">Does the digital service limit the number of downloaded fonts? </t>
  </si>
  <si>
    <t>N/A if the digital service does not use text</t>
  </si>
  <si>
    <t>The criterion is validated if the fonts downloaded for the service meet at least one of these conditions: 
• the number of fonts downloaded is limited to two (with a maximum of four variants in total) per page or "display unit" (if pagination is not used for the service); 
• the downloaded fonts’ file size does not exceed 400 KB per page or "display unit"</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</si>
  <si>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</si>
  <si>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</si>
  <si>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</si>
  <si>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</si>
  <si>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4 – User Experience and Interface (2/2)</t>
  </si>
  <si>
    <t>4.9</t>
  </si>
  <si>
    <t>Does the digital service limit server requests during user input?</t>
  </si>
  <si>
    <t xml:space="preserve">N/A if the digital service has no HMI </t>
  </si>
  <si>
    <t xml:space="preserve">To validate the criterion, ensure the service does not offer autocomplete and, in the opposite case, ensure that autocomplete is substantiated from a user point of view, and periodically check that autocomplete waits for at least 500 ms before activating and at least three characters are entered. The user interface provides the option of disabling autocomplete. </t>
  </si>
  <si>
    <t>4.10</t>
  </si>
  <si>
    <t>Does the digital service inform users of the expected input format, avoiding unnecessary server requests when submitting a form?</t>
  </si>
  <si>
    <t>N/A if the digital service does not use forms</t>
  </si>
  <si>
    <t>The criterion is validated if the user is informed of the expected input formats before the form is submitted. The service's mandatory data entries and formats will also need to be validated first on the client side before the form is submitted.</t>
  </si>
  <si>
    <t>4.11</t>
  </si>
  <si>
    <t>Does the digital service inform users pre-transfer of the expected file size and formats?</t>
  </si>
  <si>
    <t xml:space="preserve">N/A if the digital service is not based on client/server file transfers as part of a form </t>
  </si>
  <si>
    <t>The criterion is validated if: 
• Downloaded files: information about the service’s expected file sizes and formats is correctly displayed to the user before the transfer, at least for files larger than 10 MB. One way to test this may be to check the information displayed pre-file transfer with different file types and sizes. 
• Uploaded files: caps on file size and formats are implemented and clearly displayed to the digital service’s users (except in specific situations where such limitations would hinder the use of the service).</t>
  </si>
  <si>
    <t>4.12</t>
  </si>
  <si>
    <t>Does the digital service flag features with significant environmental impacts to users?</t>
  </si>
  <si>
    <t>Add indicators only if heavier features are introduced later.</t>
  </si>
  <si>
    <t>None for now.</t>
  </si>
  <si>
    <t>UI inspection confirms absence of eco indicators.</t>
  </si>
  <si>
    <t>No eco-impact indicators exist, and no high-impact features currently require them.</t>
  </si>
  <si>
    <t>4.13</t>
  </si>
  <si>
    <t>Does the digital service limit the use of notifications, while giving users the ability to disable them?</t>
  </si>
  <si>
    <t>Allow users to control the frequency or type of notifications.</t>
  </si>
  <si>
    <t>Add a simple notification preference setting.</t>
  </si>
  <si>
    <t>Frontend + backend developer.</t>
  </si>
  <si>
    <t>Future update.</t>
  </si>
  <si>
    <t>Review confirms notifications exist but lack adjustable preferences.</t>
  </si>
  <si>
    <t>Smart Library uses basic notifications but does not yet offer user-controlled granularity.</t>
  </si>
  <si>
    <t>4.14</t>
  </si>
  <si>
    <t>Does the digital service avoid the use of dark patterns in its user interface?</t>
  </si>
  <si>
    <t>Recheck UI during future updates to ensure transparency is maintained.</t>
  </si>
  <si>
    <t>Manual inspection confirms absence of dark patterns.</t>
  </si>
  <si>
    <t>The interface contains no deceptive or manipulative UI patterns.</t>
  </si>
  <si>
    <t>4.15</t>
  </si>
  <si>
    <t>Does the digital service provide users with a means to monitor their usage to be able to track and reduce their associated environmental impacts?</t>
  </si>
  <si>
    <t>Add a minimal indicator (e.g., last viewed time).</t>
  </si>
  <si>
    <t>Define and implement a lightweight usage indicator.</t>
  </si>
  <si>
    <t>Backend + frontend developer.</t>
  </si>
  <si>
    <t>UI review shows no usage indicators.</t>
  </si>
  <si>
    <t>Usage monitoring is not currently available but could be added easily.</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</si>
  <si>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</si>
  <si>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</si>
  <si>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</si>
  <si>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</si>
  <si>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5 – Content</t>
  </si>
  <si>
    <t>5.1</t>
  </si>
  <si>
    <t>Does the digital service use a file format adapted to the content and the viewing context of each image?</t>
  </si>
  <si>
    <t>Not applicable</t>
  </si>
  <si>
    <t>None unless future features require images.</t>
  </si>
  <si>
    <t>Applicable only if the service uses images</t>
  </si>
  <si>
    <t>UI and asset review confirmed that the service does not include image content.</t>
  </si>
  <si>
    <t>Smart Library uses no images other than simple UI elements; no content images requiring format adaptation are used.</t>
  </si>
  <si>
    <t>5.2</t>
  </si>
  <si>
    <t xml:space="preserve">Does the digital service contain images whose level of compression is adapted to the content and the viewing context? </t>
  </si>
  <si>
    <t>Ensure proper compression if future images are added.</t>
  </si>
  <si>
    <t>Applicable only if the service uses images that require compression</t>
  </si>
  <si>
    <t>Inspection shows no images that require compression.</t>
  </si>
  <si>
    <t>The service does not use content images, so compression levels do not apply.</t>
  </si>
  <si>
    <t>5.3</t>
  </si>
  <si>
    <t>Does the digital service use a definition adapted to the content and viewing context for each video?</t>
  </si>
  <si>
    <t>None, unless videos are introduced later.</t>
  </si>
  <si>
    <t>Add simple contextual filters (e.g., favourite rooms or preferred building).</t>
  </si>
  <si>
    <t>Frontend developer.</t>
  </si>
  <si>
    <t>Applicable only if videos exist</t>
  </si>
  <si>
    <t>Interface review confirmed the absence of video elements.</t>
  </si>
  <si>
    <t>Smart Library does not use any video content.</t>
  </si>
  <si>
    <t>5.4</t>
  </si>
  <si>
    <t xml:space="preserve">Does the digital service use videos with an efficient compression method that is adapted to the content and the viewing context? </t>
  </si>
  <si>
    <t>None planned.</t>
  </si>
  <si>
    <t>Applicable only if videos are present</t>
  </si>
  <si>
    <t>UI inspection confirms no video content exists.</t>
  </si>
  <si>
    <t>There are no videos in the Smart Library interface, so compression format selection does not apply.</t>
  </si>
  <si>
    <t>5.5</t>
  </si>
  <si>
    <t xml:space="preserve">Does the digital service offer an audio-only mode for its videos? </t>
  </si>
  <si>
    <t>None unless videos are added.</t>
  </si>
  <si>
    <t>Applicable only to services containing videos</t>
  </si>
  <si>
    <t>Interface review confirms no audio or video content is provided.</t>
  </si>
  <si>
    <t>Since the service contains no videos, an audio-only mode is not relevant.</t>
  </si>
  <si>
    <t>5.6</t>
  </si>
  <si>
    <t>Does the digital service offer audio content whose compression mode is adapted to the content and listening context?</t>
  </si>
  <si>
    <t>N/A if the digital service does not use audio content</t>
  </si>
  <si>
    <t>The criterion is validated if the service meets the following conditions: 
• the audio content available on the digital service is offered with an efficient audio codec, currently Opus, AAC, HE-AAC, HE-AAC v2, HD-AAC, Dolby E-AC-3 or Dolby AC-4 (an inefficient codec may be offered as a fallback, provided that a more efficient one is available to compatible devices); 
• document the audio codec(s) used, the type of audio encoding: bitrate, number of channels in the digital service’s Ecodesign declaration of conformity.</t>
  </si>
  <si>
    <t>- Audio codec(s) used: [to be completed] 
- Type of audio encoding: bit rate, number of channels: [to be completed</t>
  </si>
  <si>
    <t>5.7</t>
  </si>
  <si>
    <t>Does the digital service use a file format adapted to each document’s content and context of use?</t>
  </si>
  <si>
    <t>N/A if the digital service is not based on the use of files</t>
  </si>
  <si>
    <t>The criterion is validated if the documents used for the digital service’s operation are compressed to reduce their size and adapt to the viewing and use context and to the content. The document compression strategy must be documented and auditable by a third party, for instance by being detailed in the digital service’s Ecodesign declaration of conformity.</t>
  </si>
  <si>
    <t>- Document compression strategy : [to be completed]</t>
  </si>
  <si>
    <t>5.8</t>
  </si>
  <si>
    <t>Does the digital service have an automatic or manual archiving and deletion strategy for obsolete or outdated content?</t>
  </si>
  <si>
    <t>Define clear rules for removing outdated dashboard data or old system messages.</t>
  </si>
  <si>
    <t>Create simple rules to remove obsolete notifications or outdated dashboard entries.</t>
  </si>
  <si>
    <t>Backend developer.</t>
  </si>
  <si>
    <t>Next update cycle.</t>
  </si>
  <si>
    <t>Backend and UI review confirmed no defined process for identifying or removing outdated content.</t>
  </si>
  <si>
    <t>Smart Library displays live occupancy data, but no formal archiving or deletion strategy exists for old content or messages.</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</si>
  <si>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</si>
  <si>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</si>
  <si>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</si>
  <si>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</si>
  <si>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6 – Frontend</t>
  </si>
  <si>
    <t>6.1</t>
  </si>
  <si>
    <t>Does the digital service restrict itself to a maximum size and a request limit per screen?</t>
  </si>
  <si>
    <t>Define a maximum page weight and request limit for each dashboard screen.</t>
  </si>
  <si>
    <t>Measure page weight and set a maximum number of network requests per dashboard screen.</t>
  </si>
  <si>
    <t>Next release.</t>
  </si>
  <si>
    <t>A basic inspection shows few requests and a small page size, but no formal thresholds exist.</t>
  </si>
  <si>
    <t>The Smart Library dashboard is lightweight, but no explicit limits on page weight or request count have been set.</t>
  </si>
  <si>
    <t>6.2</t>
  </si>
  <si>
    <t xml:space="preserve">Does the digital service use caching mechanisms for all of the transferred content that it controls? </t>
  </si>
  <si>
    <t>Specify cache expiration strategy in the documentation.</t>
  </si>
  <si>
    <t>Applicable to all services using a server</t>
  </si>
  <si>
    <t>Repeated access shows static files are retrieved from cache rather than the server.</t>
  </si>
  <si>
    <t>The service benefits from browser caching for static content, reducing repeated transfers of identical resources.</t>
  </si>
  <si>
    <t>6.3</t>
  </si>
  <si>
    <t>Has the digital service implemented compression techniques for the transferred resources that it controls?</t>
  </si>
  <si>
    <t>The criterion is validated if the numeric service queries use a data compression mechanism at the frontend. For HTTP and HTML compression, the Brotli or GZIP compression mechanisms are recommended.</t>
  </si>
  <si>
    <t>6.4</t>
  </si>
  <si>
    <t>Does the digital service display primarily images whose original dimensions correspond to the display context’s dimensions?</t>
  </si>
  <si>
    <t>Ensure that any future images are pre-resized before delivery.</t>
  </si>
  <si>
    <t>Applicable to all services using images</t>
  </si>
  <si>
    <t>UI asset review confirmed that no oversized images are served.</t>
  </si>
  <si>
    <t>The service currently uses minimal static images and no large-format graphics, ensuring efficient loading.</t>
  </si>
  <si>
    <t>6.5</t>
  </si>
  <si>
    <t>Does the digital service avoid triggering uploads of unused resources and content for each feature?</t>
  </si>
  <si>
    <t>Audit periodically to ensure no new unused assets are added.</t>
  </si>
  <si>
    <t>Frontend inspection shows only essential JS, CSS, and data are loaded when accessing the dashboard.</t>
  </si>
  <si>
    <t>Smart Library only loads resources required for the dashboard view; no unused scripts, media, or UI components are triggered.</t>
  </si>
  <si>
    <t>6.6</t>
  </si>
  <si>
    <t>Does the digital service solicit sensors on user devices only when needed, rather than permanently?</t>
  </si>
  <si>
    <t>6.7</t>
  </si>
  <si>
    <t>Does the digital service host all of the transferred static resources that it transmits over the same domain?</t>
  </si>
  <si>
    <t xml:space="preserve">N/A if the digital service does not use HTTP </t>
  </si>
  <si>
    <t>The criterion is validated if (cumulative conditions): 
• all of its resources support HTTP/2 or HTTP/3; 
• all static resources, excluding third-party services, are transferred via a single domain name at a given point in time.</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</si>
  <si>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</si>
  <si>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</si>
  <si>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</si>
  <si>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</si>
  <si>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7 – Backend</t>
  </si>
  <si>
    <t>7.1</t>
  </si>
  <si>
    <t>Does the digital service use a cache server system for the most popular data?</t>
  </si>
  <si>
    <t>Add simple cache invalidation rules if data becomes more dynamic.</t>
  </si>
  <si>
    <t>Applicable to all services with server responses</t>
  </si>
  <si>
    <t>Backend review shows that identical data can be served repeatedly without regeneration, meeting caching expectations.</t>
  </si>
  <si>
    <t>Smart Library serves simple occupancy data that changes infrequently; server caching (or in-memory caching) is naturally possible and reduces repeated database calls.</t>
  </si>
  <si>
    <t>7.2</t>
  </si>
  <si>
    <t>Has the digital service implemented retention periods for data and documents, with a view to deleting or archiving them once they expire?</t>
  </si>
  <si>
    <t>Define and document retention periods for stored occupancy or log data.</t>
  </si>
  <si>
    <t>Set retention periods for logs or temporary data (e.g., delete logs older than X days).</t>
  </si>
  <si>
    <t>Applicable to all services using stored data</t>
  </si>
  <si>
    <t>Backend verification shows data is stored simply but without explicit deletion schedules.</t>
  </si>
  <si>
    <t>Smart Library stores minimal information, but no formal retention or deletion rules exist yet for logs or temporary datasets.</t>
  </si>
  <si>
    <t>7.3</t>
  </si>
  <si>
    <t>Does the digital service inform users of background processing?</t>
  </si>
  <si>
    <t>N/A if the digital service does not perform background processing</t>
  </si>
  <si>
    <t>Perform functional tests to verify that when an action is being processed, the button or trigger is disabled and a visual indicator or wait message is present to inform the user</t>
  </si>
  <si>
    <t>7.4</t>
  </si>
  <si>
    <t>Does the digital service rely on a consensus mechanism that minimises its resource consumption?</t>
  </si>
  <si>
    <t>None needed.</t>
  </si>
  <si>
    <t>N/A unless the service uses blockchain, distributed ledgers, or heavy consensus protocols.</t>
  </si>
  <si>
    <t>Code and architecture review confirm no distributed consensus logic is used.</t>
  </si>
  <si>
    <t>Smart Library does not use blockchain or consensus mechanisms; it is a simple client–server system.</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</si>
  <si>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</si>
  <si>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</si>
  <si>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</si>
  <si>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</si>
  <si>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8 – Hosting (1/2)</t>
  </si>
  <si>
    <t>Name(s) of supplier(s) or service provider(s) for physical hosting of servers (storage or computing in particular) to enable the environmental impact of hosting to be monitored: [to be completed].</t>
  </si>
  <si>
    <t>8.1</t>
  </si>
  <si>
    <t>Does the digital service use a hosting provider that has a strategy to reduce its environmental footprint?</t>
  </si>
  <si>
    <t>Confirm HTTP/3 support when available on the university infrastructure.</t>
  </si>
  <si>
    <t>Applicable to all services hosting static assets</t>
  </si>
  <si>
    <t>Inspection of hosting environment confirms HTTP/2 compatibility.</t>
  </si>
  <si>
    <t>The Smart Library static resources can be served over HTTP/2, which allows multiplexing and reduces latency compared to older versions.</t>
  </si>
  <si>
    <t>8.2</t>
  </si>
  <si>
    <t>Does the digital service use a hosting provider that provides a sustainable management policy for its equipment?</t>
  </si>
  <si>
    <t>Ensure future deployments remain within local or university infrastructure.</t>
  </si>
  <si>
    <t>Applicable to all services hosting media</t>
  </si>
  <si>
    <t>Network path verification shows low latency due to local hosting.</t>
  </si>
  <si>
    <t>Smart Library is hosted on the university network, ensuring that all content is delivered from servers geographically close to users.</t>
  </si>
  <si>
    <t>8.3</t>
  </si>
  <si>
    <t>Does the digital service use a hosting provider with a low PUE (Power Usage Effectiveness)?</t>
  </si>
  <si>
    <t>Document the sustainability policies of the university hosting provider.</t>
  </si>
  <si>
    <t>Review of the hosting environment indicates consolidated, energy-efficient infrastructure.</t>
  </si>
  <si>
    <t>The service uses the university’s infrastructure, which benefits from shared resources and efficient data-center management.</t>
  </si>
  <si>
    <t>8.4</t>
  </si>
  <si>
    <t>Does the digital service use a hosting provider with a low WUE (Water Usage Effectiveness)?</t>
  </si>
  <si>
    <t>None needed unless heavy analytics are introduced later.</t>
  </si>
  <si>
    <t>Applicable only to services with heavy compute workloads</t>
  </si>
  <si>
    <t>Architecture review confirms no compute-intensive operations exist.</t>
  </si>
  <si>
    <t>Smart Library does not perform heavy computation; only light occupancy data is processed.</t>
  </si>
  <si>
    <t>8.5</t>
  </si>
  <si>
    <t xml:space="preserve">Does the digital service use a hosting provider whose energy source is documented, and which is primarily renewable? </t>
  </si>
  <si>
    <t>Reevaluate server sizing if usage grows significantly.</t>
  </si>
  <si>
    <t>Infrastructure review confirms server capacity matches expected load.</t>
  </si>
  <si>
    <t>The Smart Library service runs on minimal infrastructure appropriate to its small scale and predictable traffic patterns.</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</si>
  <si>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</si>
  <si>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</si>
  <si>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</si>
  <si>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</si>
  <si>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8 – Hosting (2/2)</t>
  </si>
  <si>
    <t>8.6</t>
  </si>
  <si>
    <t>Does the digital service use a hosting provider whose geographical location is consistent with its operations, and which minimises its environmental footprint?</t>
  </si>
  <si>
    <t>Use containerisation for easier scaling in future updates.</t>
  </si>
  <si>
    <t>Infrastructure documentation shows services deployed on virtualised systems.</t>
  </si>
  <si>
    <t>The Smart Library environment uses virtualised hosting provided by the university, reducing dedicated hardware requirements.</t>
  </si>
  <si>
    <t>8.7</t>
  </si>
  <si>
    <t>Does the digital service use a hosting provider that makes efficient use of the heat produced by its servers?</t>
  </si>
  <si>
    <t>Confirm the university provider’s renewable energy commitments or publish a sustainability note.</t>
  </si>
  <si>
    <t>Request or verify renewable energy policy details from the hosting provider.</t>
  </si>
  <si>
    <t>Project team or sustainability lead.</t>
  </si>
  <si>
    <t>Before the final sustainability report.</t>
  </si>
  <si>
    <t>Initial review indicates general sustainability initiatives but lacks a specific renewable energy declaration.</t>
  </si>
  <si>
    <t>The university infrastructure may include renewable energy sources, but no explicit documentation has been integrated into the project.</t>
  </si>
  <si>
    <t>8.8</t>
  </si>
  <si>
    <t xml:space="preserve">Does the digital service host “hot” and “cold” data differently? </t>
  </si>
  <si>
    <t>N/A if the digital service hosts the equivalent of less than 10 TB of data</t>
  </si>
  <si>
    <t>To validate this criterion, ensure that appropriate storage strategies are in place for cold data, taking their environmental footprint into account.</t>
  </si>
  <si>
    <t>8.9</t>
  </si>
  <si>
    <t>Does the digital service duplicate data only when necessary?</t>
  </si>
  <si>
    <t>Review backup frequency if data volume grows.</t>
  </si>
  <si>
    <t>Applicable to all services using hosting</t>
  </si>
  <si>
    <t>Backend and hosting setup review confirmed that only essential backups and default provider redundancy are used.</t>
  </si>
  <si>
    <t>Smart Library stores very little data and does not use multiple replicas beyond what is provided by the hosting infrastructure. No unnecessary duplication is performed.</t>
  </si>
  <si>
    <t>8.10</t>
  </si>
  <si>
    <t>Does the digital service factor in outside constraints to minimise the environmental impact of asynchronous computing and data transfers?</t>
  </si>
  <si>
    <t>If asynchronous tasks are added later, schedule them outside peak hours.</t>
  </si>
  <si>
    <t>N/A if the service has no asynchronous computing or time-shiftable transfers</t>
  </si>
  <si>
    <t>Code and architecture inspection confirm the absence of asynchronous or scheduled tasks.</t>
  </si>
  <si>
    <t>The service performs only simple synchronous API calls; no batch transfers or time-shifted tasks exist that would require optimisation based on external constraints.</t>
  </si>
  <si>
    <r>
      <rPr>
        <rFont val="Arial"/>
        <b/>
        <color theme="1"/>
        <sz val="10.0"/>
      </rPr>
      <t xml:space="preserve">The content of these columns is used to generate the PDF to be published
</t>
    </r>
    <r>
      <rPr>
        <rFont val="Arial"/>
        <b val="0"/>
        <color theme="1"/>
        <sz val="10.0"/>
      </rPr>
      <t xml:space="preserve">(use the PDF export function in this software).  </t>
    </r>
  </si>
  <si>
    <r>
      <rPr>
        <rFont val="Arial"/>
        <b/>
        <color rgb="FFFF0000"/>
        <sz val="10.0"/>
      </rPr>
      <t>Columns for internal use</t>
    </r>
    <r>
      <rPr>
        <rFont val="Arial"/>
        <b val="0"/>
        <color rgb="FFFF0000"/>
        <sz val="10.0"/>
      </rPr>
      <t xml:space="preserve"> (not published in the generated PDF) Complete these boxes if this will help you to progress.</t>
    </r>
  </si>
  <si>
    <r>
      <rPr>
        <rFont val="Arial"/>
        <b/>
        <color rgb="FFFF0000"/>
        <sz val="10.0"/>
      </rPr>
      <t>Columns to help assess the criterion</t>
    </r>
    <r>
      <rPr>
        <rFont val="Arial"/>
        <b val="0"/>
        <color rgb="FFFF0000"/>
        <sz val="10.0"/>
      </rPr>
      <t xml:space="preserve"> (not published in the generated PDF)
and example of an ecodesign declaration</t>
    </r>
  </si>
  <si>
    <r>
      <rPr>
        <rFont val="Arial"/>
        <b/>
        <color rgb="FFFFFFFF"/>
        <sz val="10.0"/>
      </rPr>
      <t xml:space="preserve">Summary of the means of testing or checking 
</t>
    </r>
    <r>
      <rPr>
        <rFont val="Arial"/>
        <b val="0"/>
        <color rgb="FFFFFFFF"/>
        <sz val="10.0"/>
      </rPr>
      <t>(consult the RGESN for the full version)</t>
    </r>
  </si>
  <si>
    <t>9 – Algorithmics</t>
  </si>
  <si>
    <t>9.1</t>
  </si>
  <si>
    <t>Has the digital service questioned the need for a training phase to avoid unsubstantiated and unreasonable usage?</t>
  </si>
  <si>
    <t>Reevaluate the need for ML if future features expand.</t>
  </si>
  <si>
    <t>Review of requirements and architecture confirms no training phase was implemented.</t>
  </si>
  <si>
    <t>Smart Library assessed whether ML was necessary and concluded that simple rule-based logic was sufficient, avoiding energy-intensive model training.</t>
  </si>
  <si>
    <t>9.2</t>
  </si>
  <si>
    <t>Does the digital service use a training phase with a minimised level of complexity proportionate to the actual use of the service?</t>
  </si>
  <si>
    <t>None unless ML features are added later.</t>
  </si>
  <si>
    <t>Applicable only to services using ML</t>
  </si>
  <si>
    <t>Architecture review confirms no ML models or datasets requiring training.</t>
  </si>
  <si>
    <t>Smart Library has no training phase; all processing uses simple deterministic rules.</t>
  </si>
  <si>
    <t>9.3</t>
  </si>
  <si>
    <t>Has the digital service implemented mechanisms for limiting the amount of training needed for it to operate?</t>
  </si>
  <si>
    <t>Applicable only if a training pipeline exists</t>
  </si>
  <si>
    <t>Technical analysis confirms no retraining or model updates exist.</t>
  </si>
  <si>
    <t>No training is performed by the service, so no limitation mechanisms are relevant.</t>
  </si>
  <si>
    <t>9.4</t>
  </si>
  <si>
    <t>Does the digital service limit the amount of data used for the training phase to what is strictly necessary?</t>
  </si>
  <si>
    <t>Further simplify backend logic if additional features are added.</t>
  </si>
  <si>
    <t>Backend inspection confirms no unnecessary layers of processing.</t>
  </si>
  <si>
    <t>Smart Library processes only essential operations: reading occupancy values and returning simple responses, keeping the processing chain minimal.</t>
  </si>
  <si>
    <t>9.5</t>
  </si>
  <si>
    <t>Does the digital service optimise model updates and retraining according to its own needs and those of target users?</t>
  </si>
  <si>
    <t>Avoid introducing heavy filtering or calculation logic in future versions.</t>
  </si>
  <si>
    <t>Code review shows simple loops and lightweight operations.</t>
  </si>
  <si>
    <t>Only basic filtering (e.g., rooms by name or status) is used, relying on minimal in-memory operations.</t>
  </si>
  <si>
    <t>9.6</t>
  </si>
  <si>
    <t>Does the digital service use compression techniques for the models used during the training phase?</t>
  </si>
  <si>
    <t>Ensure any new features maintain low computational complexity.</t>
  </si>
  <si>
    <t>Logic inspection confirms calculations are simple and called only when necessary.</t>
  </si>
  <si>
    <t>Smart Library’s algorithms are straightforward and run only on demand; no heavy or continuous computations exist.</t>
  </si>
  <si>
    <t>9.7</t>
  </si>
  <si>
    <t>Does the digital service use an inference strategy that is optimised in terms of resource consumption and target users?</t>
  </si>
  <si>
    <t>Reduce repeated requests by introducing a lightweight local cache.</t>
  </si>
  <si>
    <t>Implement a small caching mechanism for frequently requested occupancy values.</t>
  </si>
  <si>
    <t>Next backend update.</t>
  </si>
  <si>
    <t>Backend analysis shows repeated similar data requests when some caching could help.</t>
  </si>
  <si>
    <t>The service currently calls occupancy data endpoints each time; caching could reduce unnecessary external requests.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</si>
</sst>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Red]\-#,##0\ %"/>
    <numFmt numFmtId="165" formatCode="d\ mmm\ yyyy"/>
  </numFmts>
  <fonts count="16">
    <font>
      <sz val="10.0"/>
      <color rgb="FF000000"/>
      <name val="Arial"/>
      <scheme val="minor"/>
    </font>
    <font>
      <b/>
      <sz val="10.0"/>
      <color theme="1"/>
      <name val="Arial"/>
    </font>
    <font/>
    <font>
      <b/>
      <sz val="11.0"/>
      <color rgb="FFFF0000"/>
      <name val="Arial"/>
    </font>
    <font>
      <b/>
      <sz val="16.0"/>
      <color rgb="FFFFFFFF"/>
      <name val="Arial"/>
    </font>
    <font>
      <sz val="10.0"/>
      <color theme="1"/>
      <name val="Arial"/>
    </font>
    <font>
      <u/>
      <sz val="10.0"/>
      <color rgb="FF0000FF"/>
      <name val="Arial"/>
    </font>
    <font>
      <b/>
      <sz val="11.0"/>
      <color theme="1"/>
      <name val="Arial"/>
    </font>
    <font>
      <sz val="11.0"/>
      <color theme="1"/>
      <name val="Arial"/>
    </font>
    <font>
      <b/>
      <sz val="14.0"/>
      <color theme="1"/>
      <name val="Arial"/>
    </font>
    <font>
      <b/>
      <sz val="12.0"/>
      <color theme="1"/>
      <name val="Arial"/>
    </font>
    <font>
      <sz val="9.0"/>
      <color theme="1"/>
      <name val="Arial"/>
    </font>
    <font>
      <b/>
      <sz val="10.0"/>
      <color rgb="FFFF0000"/>
      <name val="Arial"/>
    </font>
    <font>
      <b/>
      <sz val="10.0"/>
      <color rgb="FFFFFFFF"/>
      <name val="Arial"/>
    </font>
    <font>
      <b/>
      <sz val="11.0"/>
      <color rgb="FFFFFFFF"/>
      <name val="Arial"/>
    </font>
    <font>
      <color theme="1"/>
      <name val="Arial"/>
      <scheme val="minor"/>
    </font>
  </fonts>
  <fills count="10">
    <fill>
      <patternFill patternType="none"/>
    </fill>
    <fill>
      <patternFill patternType="lightGray"/>
    </fill>
    <fill>
      <patternFill patternType="solid">
        <fgColor rgb="FFFFFFD7"/>
        <bgColor rgb="FFFFFFD7"/>
      </patternFill>
    </fill>
    <fill>
      <patternFill patternType="solid">
        <fgColor rgb="FF232253"/>
        <bgColor rgb="FF232253"/>
      </patternFill>
    </fill>
    <fill>
      <patternFill patternType="solid">
        <fgColor rgb="FFF1EDE6"/>
        <bgColor rgb="FFF1EDE6"/>
      </patternFill>
    </fill>
    <fill>
      <patternFill patternType="solid">
        <fgColor rgb="FFCDE5F6"/>
        <bgColor rgb="FFCDE5F6"/>
      </patternFill>
    </fill>
    <fill>
      <patternFill patternType="solid">
        <fgColor rgb="FF00FFFF"/>
        <bgColor rgb="FF00FFFF"/>
      </patternFill>
    </fill>
    <fill>
      <patternFill patternType="solid">
        <fgColor rgb="FFFFFFA6"/>
        <bgColor rgb="FFFFFFA6"/>
      </patternFill>
    </fill>
    <fill>
      <patternFill patternType="solid">
        <fgColor rgb="FFC0FFFF"/>
        <bgColor rgb="FFC0FFFF"/>
      </patternFill>
    </fill>
    <fill>
      <patternFill patternType="solid">
        <fgColor rgb="FFE5FFFF"/>
        <bgColor rgb="FFE5FFFF"/>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top/>
    </border>
    <border>
      <top/>
    </border>
    <border>
      <right/>
      <top/>
    </border>
    <border>
      <left style="thin">
        <color rgb="FF000000"/>
      </left>
      <right/>
      <top style="thin">
        <color rgb="FF000000"/>
      </top>
      <bottom/>
    </border>
    <border>
      <left/>
      <right style="thin">
        <color rgb="FF000000"/>
      </right>
      <top style="thin">
        <color rgb="FF000000"/>
      </top>
      <bottom/>
    </border>
    <border>
      <left/>
    </border>
    <border>
      <right/>
    </border>
    <border>
      <left style="thin">
        <color rgb="FF000000"/>
      </left>
      <right/>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bottom/>
    </border>
    <border>
      <bottom/>
    </border>
    <border>
      <right/>
      <bottom/>
    </border>
    <border>
      <left style="thin">
        <color rgb="FF000000"/>
      </left>
      <right style="thin">
        <color rgb="FF000000"/>
      </right>
      <top style="thin">
        <color rgb="FF000000"/>
      </top>
      <bottom style="thin">
        <color rgb="FF000000"/>
      </bottom>
    </border>
    <border>
      <left/>
      <right/>
      <top style="thin">
        <color rgb="FF000000"/>
      </top>
      <bottom/>
    </border>
    <border>
      <left style="thin">
        <color rgb="FF000000"/>
      </left>
      <right style="thin">
        <color rgb="FF000000"/>
      </right>
      <top/>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0" fontId="1" numFmtId="49" xfId="0" applyAlignment="1" applyBorder="1" applyFont="1" applyNumberFormat="1">
      <alignment horizontal="center" shrinkToFit="0" vertical="center" wrapText="1"/>
    </xf>
    <xf borderId="2" fillId="0" fontId="2" numFmtId="0" xfId="0" applyBorder="1" applyFont="1"/>
    <xf borderId="3" fillId="0" fontId="2" numFmtId="0" xfId="0" applyBorder="1" applyFont="1"/>
    <xf borderId="4" fillId="2" fontId="3" numFmtId="49" xfId="0" applyAlignment="1" applyBorder="1" applyFill="1" applyFont="1" applyNumberFormat="1">
      <alignment horizontal="center" shrinkToFit="0" vertical="center" wrapText="1"/>
    </xf>
    <xf borderId="5" fillId="0" fontId="2" numFmtId="0" xfId="0" applyBorder="1" applyFont="1"/>
    <xf borderId="6" fillId="0" fontId="2" numFmtId="0" xfId="0" applyBorder="1" applyFont="1"/>
    <xf borderId="1" fillId="3" fontId="4" numFmtId="49" xfId="0" applyAlignment="1" applyBorder="1" applyFill="1" applyFont="1" applyNumberFormat="1">
      <alignment horizontal="center" readingOrder="0" shrinkToFit="0" vertical="center" wrapText="1"/>
    </xf>
    <xf borderId="4" fillId="2" fontId="5" numFmtId="0" xfId="0" applyAlignment="1" applyBorder="1" applyFont="1">
      <alignment shrinkToFit="0" vertical="top" wrapText="1"/>
    </xf>
    <xf borderId="1" fillId="4" fontId="6" numFmtId="49" xfId="0" applyAlignment="1" applyBorder="1" applyFill="1" applyFont="1" applyNumberFormat="1">
      <alignment horizontal="left" shrinkToFit="0" vertical="center" wrapText="1"/>
    </xf>
    <xf borderId="4" fillId="2" fontId="5" numFmtId="0" xfId="0" applyAlignment="1" applyBorder="1" applyFont="1">
      <alignment horizontal="left" shrinkToFit="0" vertical="center" wrapText="1"/>
    </xf>
    <xf borderId="0" fillId="0" fontId="5" numFmtId="49" xfId="0" applyAlignment="1" applyFont="1" applyNumberFormat="1">
      <alignment vertical="center"/>
    </xf>
    <xf borderId="7" fillId="2" fontId="5" numFmtId="0" xfId="0" applyAlignment="1" applyBorder="1" applyFont="1">
      <alignment horizontal="left" shrinkToFit="0" vertical="center" wrapText="1"/>
    </xf>
    <xf borderId="8" fillId="0" fontId="2" numFmtId="0" xfId="0" applyBorder="1" applyFont="1"/>
    <xf borderId="9" fillId="0" fontId="2" numFmtId="0" xfId="0" applyBorder="1" applyFont="1"/>
    <xf borderId="10" fillId="5" fontId="1" numFmtId="49" xfId="0" applyAlignment="1" applyBorder="1" applyFill="1" applyFont="1" applyNumberFormat="1">
      <alignment vertical="center"/>
    </xf>
    <xf borderId="11" fillId="5" fontId="7" numFmtId="49" xfId="0" applyAlignment="1" applyBorder="1" applyFont="1" applyNumberFormat="1">
      <alignment readingOrder="0" vertical="center"/>
    </xf>
    <xf borderId="12" fillId="0" fontId="2" numFmtId="0" xfId="0" applyBorder="1" applyFont="1"/>
    <xf borderId="13" fillId="0" fontId="2" numFmtId="0" xfId="0" applyBorder="1" applyFont="1"/>
    <xf borderId="14" fillId="5" fontId="5" numFmtId="49" xfId="0" applyAlignment="1" applyBorder="1" applyFont="1" applyNumberFormat="1">
      <alignment vertical="center"/>
    </xf>
    <xf borderId="15" fillId="5" fontId="8" numFmtId="49" xfId="0" applyAlignment="1" applyBorder="1" applyFont="1" applyNumberFormat="1">
      <alignment readingOrder="0" vertical="center"/>
    </xf>
    <xf borderId="16" fillId="5" fontId="5" numFmtId="49" xfId="0" applyAlignment="1" applyBorder="1" applyFont="1" applyNumberFormat="1">
      <alignment vertical="center"/>
    </xf>
    <xf borderId="17" fillId="5" fontId="8" numFmtId="49" xfId="0" applyAlignment="1" applyBorder="1" applyFont="1" applyNumberFormat="1">
      <alignment readingOrder="0" vertical="center"/>
    </xf>
    <xf borderId="18" fillId="0" fontId="2" numFmtId="0" xfId="0" applyBorder="1" applyFont="1"/>
    <xf borderId="19" fillId="0" fontId="2" numFmtId="0" xfId="0" applyBorder="1" applyFont="1"/>
    <xf borderId="20" fillId="0" fontId="2" numFmtId="0" xfId="0" applyBorder="1" applyFont="1"/>
    <xf borderId="10" fillId="6" fontId="9" numFmtId="49" xfId="0" applyAlignment="1" applyBorder="1" applyFill="1" applyFont="1" applyNumberFormat="1">
      <alignment vertical="center"/>
    </xf>
    <xf borderId="11" fillId="6" fontId="9" numFmtId="164" xfId="0" applyAlignment="1" applyBorder="1" applyFont="1" applyNumberFormat="1">
      <alignment horizontal="left" vertical="center"/>
    </xf>
    <xf borderId="21" fillId="2" fontId="5" numFmtId="0" xfId="0" applyAlignment="1" applyBorder="1" applyFont="1">
      <alignment vertical="center"/>
    </xf>
    <xf borderId="10" fillId="2" fontId="5" numFmtId="0" xfId="0" applyAlignment="1" applyBorder="1" applyFont="1">
      <alignment vertical="center"/>
    </xf>
    <xf borderId="22" fillId="2" fontId="5" numFmtId="0" xfId="0" applyAlignment="1" applyBorder="1" applyFont="1">
      <alignment vertical="center"/>
    </xf>
    <xf borderId="11" fillId="2" fontId="5" numFmtId="0" xfId="0" applyAlignment="1" applyBorder="1" applyFont="1">
      <alignment vertical="center"/>
    </xf>
    <xf borderId="16" fillId="6" fontId="10" numFmtId="49" xfId="0" applyAlignment="1" applyBorder="1" applyFont="1" applyNumberFormat="1">
      <alignment vertical="center"/>
    </xf>
    <xf borderId="17" fillId="6" fontId="10" numFmtId="0" xfId="0" applyAlignment="1" applyBorder="1" applyFont="1">
      <alignment horizontal="left" readingOrder="0" vertical="center"/>
    </xf>
    <xf borderId="23" fillId="2" fontId="5" numFmtId="0" xfId="0" applyAlignment="1" applyBorder="1" applyFont="1">
      <alignment vertical="center"/>
    </xf>
    <xf borderId="14" fillId="2" fontId="5" numFmtId="0" xfId="0" applyAlignment="1" applyBorder="1" applyFont="1">
      <alignment vertical="center"/>
    </xf>
    <xf borderId="24" fillId="2" fontId="5" numFmtId="0" xfId="0" applyAlignment="1" applyBorder="1" applyFont="1">
      <alignment vertical="center"/>
    </xf>
    <xf borderId="15" fillId="2" fontId="5" numFmtId="0" xfId="0" applyAlignment="1" applyBorder="1" applyFont="1">
      <alignment vertical="center"/>
    </xf>
    <xf borderId="0" fillId="0" fontId="5" numFmtId="49" xfId="0" applyAlignment="1" applyFont="1" applyNumberFormat="1">
      <alignment horizontal="left" vertical="center"/>
    </xf>
    <xf borderId="10" fillId="5" fontId="8" numFmtId="49" xfId="0" applyAlignment="1" applyBorder="1" applyFont="1" applyNumberFormat="1">
      <alignment vertical="center"/>
    </xf>
    <xf borderId="11" fillId="5" fontId="5" numFmtId="49" xfId="0" applyAlignment="1" applyBorder="1" applyFont="1" applyNumberFormat="1">
      <alignment horizontal="left" vertical="center"/>
    </xf>
    <xf borderId="14" fillId="5" fontId="7" numFmtId="49" xfId="0" applyAlignment="1" applyBorder="1" applyFont="1" applyNumberFormat="1">
      <alignment shrinkToFit="0" vertical="center" wrapText="1"/>
    </xf>
    <xf borderId="15" fillId="5" fontId="5" numFmtId="164" xfId="0" applyAlignment="1" applyBorder="1" applyFont="1" applyNumberFormat="1">
      <alignment horizontal="left" vertical="center"/>
    </xf>
    <xf borderId="16" fillId="5" fontId="7" numFmtId="49" xfId="0" applyAlignment="1" applyBorder="1" applyFont="1" applyNumberFormat="1">
      <alignment shrinkToFit="0" vertical="center" wrapText="1"/>
    </xf>
    <xf borderId="17" fillId="5" fontId="5" numFmtId="164" xfId="0" applyAlignment="1" applyBorder="1" applyFont="1" applyNumberFormat="1">
      <alignment horizontal="left" vertical="center"/>
    </xf>
    <xf borderId="1" fillId="4" fontId="7" numFmtId="49" xfId="0" applyAlignment="1" applyBorder="1" applyFont="1" applyNumberFormat="1">
      <alignment horizontal="left" readingOrder="0" shrinkToFit="0" vertical="center" wrapText="1"/>
    </xf>
    <xf borderId="7" fillId="2" fontId="1" numFmtId="0" xfId="0" applyAlignment="1" applyBorder="1" applyFont="1">
      <alignment shrinkToFit="0" vertical="top" wrapText="1"/>
    </xf>
    <xf borderId="0" fillId="0" fontId="11" numFmtId="0" xfId="0" applyAlignment="1" applyFont="1">
      <alignment horizontal="right"/>
    </xf>
    <xf borderId="1" fillId="7" fontId="12" numFmtId="49" xfId="0" applyAlignment="1" applyBorder="1" applyFill="1" applyFont="1" applyNumberFormat="1">
      <alignment horizontal="center" shrinkToFit="0" vertical="center" wrapText="1"/>
    </xf>
    <xf borderId="1" fillId="2" fontId="12" numFmtId="49" xfId="0" applyAlignment="1" applyBorder="1" applyFont="1" applyNumberFormat="1">
      <alignment horizontal="center" shrinkToFit="0" vertical="center" wrapText="1"/>
    </xf>
    <xf borderId="1" fillId="3" fontId="13" numFmtId="49" xfId="0" applyAlignment="1" applyBorder="1" applyFont="1" applyNumberFormat="1">
      <alignment horizontal="center" vertical="center"/>
    </xf>
    <xf borderId="21" fillId="3" fontId="13" numFmtId="49" xfId="0" applyAlignment="1" applyBorder="1" applyFont="1" applyNumberFormat="1">
      <alignment horizontal="center" vertical="center"/>
    </xf>
    <xf borderId="21" fillId="3" fontId="13" numFmtId="49" xfId="0" applyAlignment="1" applyBorder="1" applyFont="1" applyNumberFormat="1">
      <alignment horizontal="center" shrinkToFit="0" vertical="center" wrapText="1"/>
    </xf>
    <xf borderId="21" fillId="3" fontId="13" numFmtId="165" xfId="0" applyAlignment="1" applyBorder="1" applyFont="1" applyNumberFormat="1">
      <alignment horizontal="center" shrinkToFit="0" vertical="center" wrapText="1"/>
    </xf>
    <xf borderId="21" fillId="3" fontId="13" numFmtId="0" xfId="0" applyAlignment="1" applyBorder="1" applyFont="1">
      <alignment horizontal="center" shrinkToFit="0" vertical="center" wrapText="1"/>
    </xf>
    <xf borderId="0" fillId="0" fontId="5" numFmtId="0" xfId="0" applyFont="1"/>
    <xf borderId="25" fillId="5" fontId="9" numFmtId="49" xfId="0" applyAlignment="1" applyBorder="1" applyFont="1" applyNumberFormat="1">
      <alignment horizontal="center" shrinkToFit="0" textRotation="90" vertical="center" wrapText="1"/>
    </xf>
    <xf borderId="25" fillId="4" fontId="1" numFmtId="49" xfId="0" applyAlignment="1" applyBorder="1" applyFont="1" applyNumberFormat="1">
      <alignment horizontal="center" shrinkToFit="0" vertical="center" wrapText="1"/>
    </xf>
    <xf borderId="21" fillId="4" fontId="5" numFmtId="49" xfId="0" applyAlignment="1" applyBorder="1" applyFont="1" applyNumberFormat="1">
      <alignment shrinkToFit="0" vertical="center" wrapText="1"/>
    </xf>
    <xf borderId="21" fillId="6" fontId="5" numFmtId="49" xfId="0" applyAlignment="1" applyBorder="1" applyFont="1" applyNumberFormat="1">
      <alignment horizontal="center" vertical="center"/>
    </xf>
    <xf borderId="21" fillId="4" fontId="8" numFmtId="49" xfId="0" applyAlignment="1" applyBorder="1" applyFont="1" applyNumberFormat="1">
      <alignment horizontal="center" readingOrder="0" vertical="center"/>
    </xf>
    <xf borderId="21" fillId="4" fontId="5" numFmtId="165" xfId="0" applyAlignment="1" applyBorder="1" applyFont="1" applyNumberFormat="1">
      <alignment horizontal="center" readingOrder="0" vertical="center"/>
    </xf>
    <xf borderId="21" fillId="4" fontId="5" numFmtId="49" xfId="0" applyAlignment="1" applyBorder="1" applyFont="1" applyNumberFormat="1">
      <alignment readingOrder="0" vertical="center"/>
    </xf>
    <xf borderId="21" fillId="7" fontId="5" numFmtId="49" xfId="0" applyAlignment="1" applyBorder="1" applyFont="1" applyNumberFormat="1">
      <alignment shrinkToFit="0" vertical="center" wrapText="1"/>
    </xf>
    <xf borderId="21" fillId="7" fontId="5" numFmtId="49" xfId="0" applyAlignment="1" applyBorder="1" applyFont="1" applyNumberFormat="1">
      <alignment readingOrder="0" shrinkToFit="0" vertical="center" wrapText="1"/>
    </xf>
    <xf borderId="21" fillId="2" fontId="5" numFmtId="0" xfId="0" applyAlignment="1" applyBorder="1" applyFont="1">
      <alignment horizontal="center" vertical="center"/>
    </xf>
    <xf borderId="21" fillId="2" fontId="5" numFmtId="49" xfId="0" applyAlignment="1" applyBorder="1" applyFont="1" applyNumberFormat="1">
      <alignment shrinkToFit="0" vertical="center" wrapText="1"/>
    </xf>
    <xf borderId="25" fillId="2" fontId="11" numFmtId="49" xfId="0" applyAlignment="1" applyBorder="1" applyFont="1" applyNumberFormat="1">
      <alignment readingOrder="0" shrinkToFit="0" vertical="center" wrapText="1"/>
    </xf>
    <xf borderId="26" fillId="0" fontId="2" numFmtId="0" xfId="0" applyBorder="1" applyFont="1"/>
    <xf borderId="27" fillId="0" fontId="2" numFmtId="0" xfId="0" applyBorder="1" applyFont="1"/>
    <xf borderId="1" fillId="4" fontId="5" numFmtId="49" xfId="0" applyAlignment="1" applyBorder="1" applyFont="1" applyNumberFormat="1">
      <alignment vertical="center"/>
    </xf>
    <xf borderId="1" fillId="2" fontId="5" numFmtId="49" xfId="0" applyAlignment="1" applyBorder="1" applyFont="1" applyNumberFormat="1">
      <alignment readingOrder="0" shrinkToFit="0" vertical="center" wrapText="1"/>
    </xf>
    <xf borderId="25" fillId="0" fontId="1" numFmtId="49" xfId="0" applyAlignment="1" applyBorder="1" applyFont="1" applyNumberFormat="1">
      <alignment horizontal="center" shrinkToFit="0" vertical="center" wrapText="1"/>
    </xf>
    <xf borderId="21" fillId="0" fontId="5" numFmtId="49" xfId="0" applyAlignment="1" applyBorder="1" applyFont="1" applyNumberFormat="1">
      <alignment shrinkToFit="0" vertical="center" wrapText="1"/>
    </xf>
    <xf borderId="21" fillId="0" fontId="5" numFmtId="49" xfId="0" applyAlignment="1" applyBorder="1" applyFont="1" applyNumberFormat="1">
      <alignment horizontal="center" readingOrder="0" vertical="center"/>
    </xf>
    <xf borderId="21" fillId="0" fontId="5" numFmtId="165" xfId="0" applyAlignment="1" applyBorder="1" applyFont="1" applyNumberFormat="1">
      <alignment horizontal="center" readingOrder="0" vertical="center"/>
    </xf>
    <xf borderId="21" fillId="0" fontId="5" numFmtId="49" xfId="0" applyAlignment="1" applyBorder="1" applyFont="1" applyNumberFormat="1">
      <alignment readingOrder="0" vertical="center"/>
    </xf>
    <xf borderId="1" fillId="0" fontId="5" numFmtId="49" xfId="0" applyAlignment="1" applyBorder="1" applyFont="1" applyNumberFormat="1">
      <alignment vertical="center"/>
    </xf>
    <xf borderId="21" fillId="8" fontId="5" numFmtId="49" xfId="0" applyAlignment="1" applyBorder="1" applyFill="1" applyFont="1" applyNumberFormat="1">
      <alignment horizontal="center" vertical="center"/>
    </xf>
    <xf borderId="21" fillId="4" fontId="5" numFmtId="49" xfId="0" applyAlignment="1" applyBorder="1" applyFont="1" applyNumberFormat="1">
      <alignment horizontal="center" readingOrder="0" vertical="center"/>
    </xf>
    <xf borderId="1" fillId="2" fontId="5" numFmtId="0" xfId="0" applyAlignment="1" applyBorder="1" applyFont="1">
      <alignment readingOrder="0" shrinkToFit="0" vertical="center" wrapText="1"/>
    </xf>
    <xf borderId="1" fillId="2" fontId="8" numFmtId="49" xfId="0" applyAlignment="1" applyBorder="1" applyFont="1" applyNumberFormat="1">
      <alignment readingOrder="0" shrinkToFit="0" vertical="center" wrapText="1"/>
    </xf>
    <xf borderId="21" fillId="9" fontId="5" numFmtId="49" xfId="0" applyAlignment="1" applyBorder="1" applyFill="1" applyFont="1" applyNumberFormat="1">
      <alignment horizontal="center" vertical="center"/>
    </xf>
    <xf borderId="21" fillId="0" fontId="5" numFmtId="49" xfId="0" applyAlignment="1" applyBorder="1" applyFont="1" applyNumberFormat="1">
      <alignment horizontal="center" vertical="center"/>
    </xf>
    <xf borderId="21" fillId="0" fontId="5" numFmtId="49" xfId="0" applyAlignment="1" applyBorder="1" applyFont="1" applyNumberFormat="1">
      <alignment vertical="center"/>
    </xf>
    <xf borderId="25" fillId="2" fontId="11" numFmtId="49" xfId="0" applyAlignment="1" applyBorder="1" applyFont="1" applyNumberFormat="1">
      <alignment shrinkToFit="0" vertical="center" wrapText="1"/>
    </xf>
    <xf borderId="1" fillId="2" fontId="5" numFmtId="49" xfId="0" applyAlignment="1" applyBorder="1" applyFont="1" applyNumberFormat="1">
      <alignment shrinkToFit="0" vertical="center" wrapText="1"/>
    </xf>
    <xf borderId="21" fillId="2" fontId="8" numFmtId="49" xfId="0" applyAlignment="1" applyBorder="1" applyFont="1" applyNumberFormat="1">
      <alignment readingOrder="0" shrinkToFit="0" vertical="center" wrapText="1"/>
    </xf>
    <xf borderId="21" fillId="6" fontId="5" numFmtId="49" xfId="0" applyAlignment="1" applyBorder="1" applyFont="1" applyNumberFormat="1">
      <alignment horizontal="center" shrinkToFit="0" vertical="center" wrapText="1"/>
    </xf>
    <xf borderId="21" fillId="4" fontId="5" numFmtId="49" xfId="0" applyAlignment="1" applyBorder="1" applyFont="1" applyNumberFormat="1">
      <alignment horizontal="center" readingOrder="0" shrinkToFit="0" vertical="center" wrapText="1"/>
    </xf>
    <xf borderId="21" fillId="0" fontId="5" numFmtId="49" xfId="0" applyAlignment="1" applyBorder="1" applyFont="1" applyNumberFormat="1">
      <alignment horizontal="center" readingOrder="0" shrinkToFit="0" vertical="center" wrapText="1"/>
    </xf>
    <xf borderId="21" fillId="2" fontId="5" numFmtId="49" xfId="0" applyAlignment="1" applyBorder="1" applyFont="1" applyNumberFormat="1">
      <alignment readingOrder="0" shrinkToFit="0" vertical="center" wrapText="1"/>
    </xf>
    <xf borderId="21" fillId="8" fontId="5" numFmtId="49" xfId="0" applyAlignment="1" applyBorder="1" applyFont="1" applyNumberFormat="1">
      <alignment horizontal="center" shrinkToFit="0" vertical="center" wrapText="1"/>
    </xf>
    <xf borderId="25" fillId="2" fontId="11" numFmtId="0" xfId="0" applyAlignment="1" applyBorder="1" applyFont="1">
      <alignment readingOrder="0" shrinkToFit="0" vertical="center" wrapText="1"/>
    </xf>
    <xf borderId="25" fillId="4" fontId="1" numFmtId="49" xfId="0" applyAlignment="1" applyBorder="1" applyFont="1" applyNumberFormat="1">
      <alignment horizontal="center" readingOrder="0" shrinkToFit="0" vertical="center" wrapText="1"/>
    </xf>
    <xf borderId="21" fillId="4" fontId="8" numFmtId="49" xfId="0" applyAlignment="1" applyBorder="1" applyFont="1" applyNumberFormat="1">
      <alignment readingOrder="0" shrinkToFit="0" vertical="center" wrapText="1"/>
    </xf>
    <xf borderId="21" fillId="6" fontId="5" numFmtId="49" xfId="0" applyAlignment="1" applyBorder="1" applyFont="1" applyNumberFormat="1">
      <alignment horizontal="center" readingOrder="0" vertical="center"/>
    </xf>
    <xf quotePrefix="1" borderId="21" fillId="2" fontId="5" numFmtId="0" xfId="0" applyAlignment="1" applyBorder="1" applyFont="1">
      <alignment horizontal="center" readingOrder="0" vertical="center"/>
    </xf>
    <xf borderId="25" fillId="0" fontId="1" numFmtId="49" xfId="0" applyAlignment="1" applyBorder="1" applyFont="1" applyNumberFormat="1">
      <alignment horizontal="center" readingOrder="0" shrinkToFit="0" vertical="center" wrapText="1"/>
    </xf>
    <xf borderId="21" fillId="0" fontId="8" numFmtId="49" xfId="0" applyAlignment="1" applyBorder="1" applyFont="1" applyNumberFormat="1">
      <alignment readingOrder="0" shrinkToFit="0" vertical="center" wrapText="1"/>
    </xf>
    <xf borderId="21" fillId="8" fontId="5" numFmtId="49" xfId="0" applyAlignment="1" applyBorder="1" applyFont="1" applyNumberFormat="1">
      <alignment horizontal="center" readingOrder="0" vertical="center"/>
    </xf>
    <xf borderId="21" fillId="7" fontId="8" numFmtId="49" xfId="0" applyAlignment="1" applyBorder="1" applyFont="1" applyNumberFormat="1">
      <alignment readingOrder="0" shrinkToFit="0" vertical="center" wrapText="1"/>
    </xf>
    <xf borderId="21" fillId="4" fontId="5" numFmtId="49" xfId="0" applyAlignment="1" applyBorder="1" applyFont="1" applyNumberFormat="1">
      <alignment horizontal="center" vertical="center"/>
    </xf>
    <xf borderId="21" fillId="4" fontId="5" numFmtId="49" xfId="0" applyAlignment="1" applyBorder="1" applyFont="1" applyNumberFormat="1">
      <alignment vertical="center"/>
    </xf>
    <xf borderId="1" fillId="2" fontId="5" numFmtId="0" xfId="0" applyAlignment="1" applyBorder="1" applyFont="1">
      <alignment readingOrder="0" shrinkToFit="0" vertical="center" wrapText="1"/>
    </xf>
    <xf borderId="21" fillId="3" fontId="14" numFmtId="49" xfId="0" applyAlignment="1" applyBorder="1" applyFont="1" applyNumberFormat="1">
      <alignment horizontal="center" readingOrder="0" shrinkToFit="0" vertical="center" wrapText="1"/>
    </xf>
    <xf borderId="21" fillId="0" fontId="8" numFmtId="49" xfId="0" applyAlignment="1" applyBorder="1" applyFont="1" applyNumberFormat="1">
      <alignment horizontal="center" readingOrder="0" vertical="center"/>
    </xf>
    <xf borderId="25" fillId="2" fontId="11" numFmtId="0" xfId="0" applyAlignment="1" applyBorder="1" applyFont="1">
      <alignment shrinkToFit="0" vertical="center" wrapText="1"/>
    </xf>
    <xf borderId="21" fillId="4" fontId="8" numFmtId="0" xfId="0" applyAlignment="1" applyBorder="1" applyFont="1">
      <alignment horizontal="center" readingOrder="0" vertical="center"/>
    </xf>
    <xf borderId="0" fillId="0" fontId="15" numFmtId="0" xfId="0" applyAlignment="1" applyFont="1">
      <alignment readingOrder="0"/>
    </xf>
    <xf borderId="21" fillId="4" fontId="5" numFmtId="165" xfId="0" applyAlignment="1" applyBorder="1" applyFont="1" applyNumberFormat="1">
      <alignment horizontal="center" vertical="center"/>
    </xf>
    <xf borderId="21" fillId="0" fontId="5" numFmtId="165" xfId="0" applyAlignment="1" applyBorder="1" applyFont="1" applyNumberFormat="1">
      <alignment horizontal="center" vertical="center"/>
    </xf>
    <xf borderId="21" fillId="4" fontId="8" numFmtId="49" xfId="0" applyAlignment="1" applyBorder="1" applyFont="1" applyNumberFormat="1">
      <alignment readingOrder="0" vertical="center"/>
    </xf>
    <xf borderId="24" fillId="4" fontId="5" numFmtId="0" xfId="0" applyAlignment="1" applyBorder="1" applyFont="1">
      <alignment horizontal="center" vertical="center"/>
    </xf>
    <xf borderId="21" fillId="2" fontId="13" numFmtId="49"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rcep.fr/uploads/tx_gspublication/general_policy_framework_for_the_ecodesign_of_digital_services_version_2024.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13"/>
    <col customWidth="1" min="2" max="3" width="47.0"/>
    <col customWidth="1" min="4" max="4" width="4.13"/>
    <col customWidth="1" min="5" max="5" width="24.0"/>
    <col customWidth="1" min="6" max="6" width="30.38"/>
    <col customWidth="1" min="7" max="8" width="16.38"/>
    <col customWidth="1" min="9" max="10" width="22.88"/>
    <col customWidth="1" min="11" max="26" width="11.63"/>
  </cols>
  <sheetData>
    <row r="1" ht="30.0" customHeight="1">
      <c r="A1" s="1" t="s">
        <v>0</v>
      </c>
      <c r="B1" s="2"/>
      <c r="C1" s="2"/>
      <c r="D1" s="3"/>
      <c r="E1" s="4" t="s">
        <v>1</v>
      </c>
      <c r="F1" s="5"/>
      <c r="G1" s="5"/>
      <c r="H1" s="5"/>
      <c r="I1" s="5"/>
      <c r="J1" s="6"/>
    </row>
    <row r="2" ht="66.0" customHeight="1">
      <c r="A2" s="7" t="s">
        <v>2</v>
      </c>
      <c r="B2" s="2"/>
      <c r="C2" s="2"/>
      <c r="D2" s="3"/>
      <c r="E2" s="8" t="s">
        <v>3</v>
      </c>
      <c r="F2" s="5"/>
      <c r="G2" s="5"/>
      <c r="H2" s="5"/>
      <c r="I2" s="5"/>
      <c r="J2" s="6"/>
    </row>
    <row r="3" ht="175.5" customHeight="1">
      <c r="A3" s="9" t="s">
        <v>4</v>
      </c>
      <c r="B3" s="2"/>
      <c r="C3" s="2"/>
      <c r="D3" s="3"/>
      <c r="E3" s="10" t="s">
        <v>5</v>
      </c>
      <c r="F3" s="5"/>
      <c r="G3" s="5"/>
      <c r="H3" s="5"/>
      <c r="I3" s="5"/>
      <c r="J3" s="6"/>
    </row>
    <row r="4" ht="12.75" customHeight="1">
      <c r="A4" s="11"/>
      <c r="B4" s="11"/>
      <c r="C4" s="11"/>
      <c r="D4" s="11"/>
      <c r="E4" s="12" t="s">
        <v>6</v>
      </c>
      <c r="F4" s="13"/>
      <c r="G4" s="13"/>
      <c r="H4" s="13"/>
      <c r="I4" s="13"/>
      <c r="J4" s="14"/>
    </row>
    <row r="5" ht="12.75" customHeight="1">
      <c r="A5" s="11"/>
      <c r="B5" s="15" t="s">
        <v>7</v>
      </c>
      <c r="C5" s="16" t="s">
        <v>8</v>
      </c>
      <c r="D5" s="11"/>
      <c r="E5" s="17"/>
      <c r="J5" s="18"/>
    </row>
    <row r="6" ht="12.75" customHeight="1">
      <c r="A6" s="11"/>
      <c r="B6" s="19" t="s">
        <v>9</v>
      </c>
      <c r="C6" s="20" t="s">
        <v>10</v>
      </c>
      <c r="D6" s="11"/>
      <c r="E6" s="17"/>
      <c r="J6" s="18"/>
    </row>
    <row r="7" ht="12.75" customHeight="1">
      <c r="A7" s="11"/>
      <c r="B7" s="19" t="s">
        <v>11</v>
      </c>
      <c r="C7" s="20" t="s">
        <v>12</v>
      </c>
      <c r="D7" s="11"/>
      <c r="E7" s="17"/>
      <c r="J7" s="18"/>
    </row>
    <row r="8" ht="12.75" customHeight="1">
      <c r="A8" s="11"/>
      <c r="B8" s="21" t="s">
        <v>13</v>
      </c>
      <c r="C8" s="22" t="s">
        <v>14</v>
      </c>
      <c r="D8" s="11"/>
      <c r="E8" s="17"/>
      <c r="J8" s="18"/>
    </row>
    <row r="9" ht="12.75" customHeight="1">
      <c r="A9" s="11"/>
      <c r="B9" s="11"/>
      <c r="C9" s="11"/>
      <c r="D9" s="11"/>
      <c r="E9" s="23"/>
      <c r="F9" s="24"/>
      <c r="G9" s="24"/>
      <c r="H9" s="24"/>
      <c r="I9" s="24"/>
      <c r="J9" s="25"/>
    </row>
    <row r="10" ht="27.75" customHeight="1">
      <c r="A10" s="11"/>
      <c r="B10" s="26" t="s">
        <v>15</v>
      </c>
      <c r="C10" s="27">
        <f>E11/F11</f>
        <v>0.6260869565</v>
      </c>
      <c r="D10" s="11"/>
      <c r="E10" s="28" t="s">
        <v>16</v>
      </c>
      <c r="F10" s="28" t="s">
        <v>17</v>
      </c>
      <c r="G10" s="29"/>
      <c r="H10" s="30"/>
      <c r="I10" s="30"/>
      <c r="J10" s="31"/>
    </row>
    <row r="11" ht="22.5" customHeight="1">
      <c r="A11" s="11"/>
      <c r="B11" s="32" t="s">
        <v>18</v>
      </c>
      <c r="C11" s="33" t="s">
        <v>19</v>
      </c>
      <c r="D11" s="11"/>
      <c r="E11" s="34">
        <f t="shared" ref="E11:F11" si="1">SUM(E14:E22)</f>
        <v>54</v>
      </c>
      <c r="F11" s="34">
        <f t="shared" si="1"/>
        <v>86.25</v>
      </c>
      <c r="G11" s="35"/>
      <c r="H11" s="36"/>
      <c r="I11" s="36"/>
      <c r="J11" s="37"/>
    </row>
    <row r="12" ht="12.75" customHeight="1">
      <c r="A12" s="11"/>
      <c r="B12" s="11"/>
      <c r="C12" s="38"/>
      <c r="D12" s="11"/>
      <c r="E12" s="34"/>
      <c r="F12" s="34"/>
      <c r="G12" s="35"/>
      <c r="H12" s="36"/>
      <c r="I12" s="36"/>
      <c r="J12" s="37"/>
    </row>
    <row r="13" ht="18.75" customHeight="1">
      <c r="A13" s="11"/>
      <c r="B13" s="39" t="s">
        <v>20</v>
      </c>
      <c r="C13" s="40"/>
      <c r="D13" s="11"/>
      <c r="E13" s="28" t="s">
        <v>21</v>
      </c>
      <c r="F13" s="28" t="s">
        <v>22</v>
      </c>
      <c r="G13" s="28" t="s">
        <v>23</v>
      </c>
      <c r="H13" s="28" t="s">
        <v>24</v>
      </c>
      <c r="I13" s="28" t="s">
        <v>25</v>
      </c>
      <c r="J13" s="28" t="s">
        <v>26</v>
      </c>
    </row>
    <row r="14" ht="12.75" customHeight="1">
      <c r="A14" s="11"/>
      <c r="B14" s="41" t="s">
        <v>27</v>
      </c>
      <c r="C14" s="42">
        <f t="shared" ref="C14:C22" si="2">IF(F14,E14/F14,"Not applicable")</f>
        <v>0.9259259259</v>
      </c>
      <c r="D14" s="11"/>
      <c r="E14" s="28">
        <f t="shared" ref="E14:E22" si="3">SUM(G14:H14)</f>
        <v>12.5</v>
      </c>
      <c r="F14" s="28">
        <f t="shared" ref="F14:F22" si="4">SUM(I14:J14)</f>
        <v>13.5</v>
      </c>
      <c r="G14" s="28">
        <f>'1 Strategy (1)'!L3+'1 Strategy (1)'!L5+'1 Strategy (1)'!L7+'1 Strategy (1)'!L9+'1 Strategy (1)'!L11</f>
        <v>7.25</v>
      </c>
      <c r="H14" s="28">
        <f>'1 Strategy (2)'!L3+'1 Strategy (2)'!L5+'1 Strategy (2)'!L7+'1 Strategy (2)'!L9+'1 Strategy (2)'!L11</f>
        <v>5.25</v>
      </c>
      <c r="I14" s="28">
        <f>'1 Strategy (1)'!M3+'1 Strategy (1)'!M5+'1 Strategy (1)'!M7+'1 Strategy (1)'!M9+'1 Strategy (1)'!M11</f>
        <v>7.25</v>
      </c>
      <c r="J14" s="28">
        <f>'1 Strategy (2)'!M3+'1 Strategy (2)'!M5+'1 Strategy (2)'!M7+'1 Strategy (2)'!M9+'1 Strategy (2)'!M11</f>
        <v>6.25</v>
      </c>
    </row>
    <row r="15" ht="12.75" customHeight="1">
      <c r="A15" s="11"/>
      <c r="B15" s="41" t="s">
        <v>28</v>
      </c>
      <c r="C15" s="42">
        <f t="shared" si="2"/>
        <v>1</v>
      </c>
      <c r="D15" s="11"/>
      <c r="E15" s="28">
        <f t="shared" si="3"/>
        <v>14</v>
      </c>
      <c r="F15" s="28">
        <f t="shared" si="4"/>
        <v>14</v>
      </c>
      <c r="G15" s="28">
        <f>'2 Specifications (1)'!L3+'2 Specifications (1)'!L5+'2 Specifications (1)'!L7+'2 Specifications (1)'!L9+'2 Specifications (1)'!L11</f>
        <v>7.25</v>
      </c>
      <c r="H15" s="28">
        <f>'2 Specifications (2)'!L3+'2 Specifications (2)'!L5+'2 Specifications (2)'!L7+'2 Specifications (2)'!L9+'2 Specifications (2)'!L11</f>
        <v>6.75</v>
      </c>
      <c r="I15" s="28">
        <f>'2 Specifications (1)'!M3+'2 Specifications (1)'!M5+'2 Specifications (1)'!M7+'2 Specifications (1)'!M9+'2 Specifications (1)'!M11</f>
        <v>7.25</v>
      </c>
      <c r="J15" s="28">
        <f>'2 Specifications (2)'!M3+'2 Specifications (2)'!M5+'2 Specifications (2)'!M7+'2 Specifications (2)'!M9+'2 Specifications (2)'!M11</f>
        <v>6.75</v>
      </c>
    </row>
    <row r="16" ht="12.75" customHeight="1">
      <c r="A16" s="11"/>
      <c r="B16" s="41" t="s">
        <v>29</v>
      </c>
      <c r="C16" s="42">
        <f t="shared" si="2"/>
        <v>0.3636363636</v>
      </c>
      <c r="D16" s="11"/>
      <c r="E16" s="28">
        <f t="shared" si="3"/>
        <v>3</v>
      </c>
      <c r="F16" s="28">
        <f t="shared" si="4"/>
        <v>8.25</v>
      </c>
      <c r="G16" s="28">
        <f>'3 Architecture'!L3+'3 Architecture'!L5+'3 Architecture'!L7+'3 Architecture'!L9+'3 Architecture'!L11+'3 Architecture'!L13+'3 Architecture'!L15</f>
        <v>3</v>
      </c>
      <c r="H16" s="28"/>
      <c r="I16" s="28">
        <f>'3 Architecture'!M3+'3 Architecture'!M5+'3 Architecture'!M7+'3 Architecture'!M9+'3 Architecture'!M11+'3 Architecture'!M13+'3 Architecture'!M15</f>
        <v>8.25</v>
      </c>
      <c r="J16" s="28"/>
    </row>
    <row r="17" ht="12.75" customHeight="1">
      <c r="A17" s="11"/>
      <c r="B17" s="41" t="s">
        <v>30</v>
      </c>
      <c r="C17" s="42">
        <f t="shared" si="2"/>
        <v>0.3055555556</v>
      </c>
      <c r="D17" s="11"/>
      <c r="E17" s="28">
        <f t="shared" si="3"/>
        <v>5.5</v>
      </c>
      <c r="F17" s="28">
        <f t="shared" si="4"/>
        <v>18</v>
      </c>
      <c r="G17" s="28">
        <f>'4 UX UI (1)'!L3+'4 UX UI (1)'!L5+'4 UX UI (1)'!L7+'4 UX UI (1)'!L9+'4 UX UI (1)'!L11+'4 UX UI (1)'!L13+'4 UX UI (1)'!L15+'4 UX UI (1)'!L17</f>
        <v>4.25</v>
      </c>
      <c r="H17" s="28">
        <f>'4 UX UI (2)'!L3+'4 UX UI (2)'!L5+'4 UX UI (2)'!L7+'4 UX UI (2)'!L9+'4 UX UI (2)'!L11+'4 UX UI (2)'!L13+'4 UX UI (2)'!L15</f>
        <v>1.25</v>
      </c>
      <c r="I17" s="28">
        <f>'4 UX UI (1)'!M3+'4 UX UI (1)'!M5+'4 UX UI (1)'!M7+'4 UX UI (1)'!M9+'4 UX UI (1)'!M11+'4 UX UI (1)'!M13+'4 UX UI (1)'!M15+'4 UX UI (1)'!M17</f>
        <v>9.75</v>
      </c>
      <c r="J17" s="28">
        <f>'4 UX UI (2)'!M3+'4 UX UI (2)'!M5+'4 UX UI (2)'!M7+'4 UX UI (2)'!M9+'4 UX UI (2)'!M11+'4 UX UI (2)'!M13+'4 UX UI (2)'!M15</f>
        <v>8.25</v>
      </c>
    </row>
    <row r="18" ht="12.75" customHeight="1">
      <c r="A18" s="11"/>
      <c r="B18" s="41" t="s">
        <v>31</v>
      </c>
      <c r="C18" s="42">
        <f t="shared" si="2"/>
        <v>0</v>
      </c>
      <c r="D18" s="11"/>
      <c r="E18" s="28">
        <f t="shared" si="3"/>
        <v>0</v>
      </c>
      <c r="F18" s="28">
        <f t="shared" si="4"/>
        <v>3.25</v>
      </c>
      <c r="G18" s="28">
        <f>'5 Content'!L3+'5 Content'!L5+'5 Content'!L7+'5 Content'!L9+'5 Content'!L11+'5 Content'!L13+'5 Content'!L15+'5 Content'!L17</f>
        <v>0</v>
      </c>
      <c r="H18" s="28"/>
      <c r="I18" s="28">
        <f>'5 Content'!M3+'5 Content'!M5+'5 Content'!M7+'5 Content'!M9+'5 Content'!M11+'5 Content'!M13+'5 Content'!M15+'5 Content'!M17</f>
        <v>3.25</v>
      </c>
      <c r="J18" s="28"/>
    </row>
    <row r="19" ht="12.75" customHeight="1">
      <c r="A19" s="11"/>
      <c r="B19" s="41" t="s">
        <v>32</v>
      </c>
      <c r="C19" s="42">
        <f t="shared" si="2"/>
        <v>0.46875</v>
      </c>
      <c r="D19" s="11"/>
      <c r="E19" s="28">
        <f t="shared" si="3"/>
        <v>3.75</v>
      </c>
      <c r="F19" s="28">
        <f t="shared" si="4"/>
        <v>8</v>
      </c>
      <c r="G19" s="28">
        <f>'6 Frontend'!L3+'6 Frontend'!L5+'6 Frontend'!L7+'6 Frontend'!L9+'6 Frontend'!L11+'6 Frontend'!L13+'6 Frontend'!L15</f>
        <v>3.75</v>
      </c>
      <c r="H19" s="28"/>
      <c r="I19" s="28">
        <f>'6 Frontend'!M3+'6 Frontend'!M5+'6 Frontend'!M7+'6 Frontend'!M9+'6 Frontend'!M11+'6 Frontend'!M13+'6 Frontend'!M15</f>
        <v>8</v>
      </c>
      <c r="J19" s="28"/>
    </row>
    <row r="20" ht="12.75" customHeight="1">
      <c r="A20" s="11"/>
      <c r="B20" s="41" t="s">
        <v>33</v>
      </c>
      <c r="C20" s="42">
        <f t="shared" si="2"/>
        <v>0.3571428571</v>
      </c>
      <c r="D20" s="11"/>
      <c r="E20" s="28">
        <f t="shared" si="3"/>
        <v>1.25</v>
      </c>
      <c r="F20" s="28">
        <f t="shared" si="4"/>
        <v>3.5</v>
      </c>
      <c r="G20" s="28">
        <f>'7 Backend'!L3+'7 Backend'!L5+'7 Backend'!L7+'7 Backend'!L9</f>
        <v>1.25</v>
      </c>
      <c r="H20" s="28"/>
      <c r="I20" s="28">
        <f>'7 Backend'!M3+'7 Backend'!M5+'7 Backend'!M7+'7 Backend'!M9</f>
        <v>3.5</v>
      </c>
      <c r="J20" s="28"/>
    </row>
    <row r="21" ht="12.75" customHeight="1">
      <c r="A21" s="11"/>
      <c r="B21" s="41" t="s">
        <v>34</v>
      </c>
      <c r="C21" s="42">
        <f t="shared" si="2"/>
        <v>0.7857142857</v>
      </c>
      <c r="D21" s="11"/>
      <c r="E21" s="28">
        <f t="shared" si="3"/>
        <v>8.25</v>
      </c>
      <c r="F21" s="28">
        <f t="shared" si="4"/>
        <v>10.5</v>
      </c>
      <c r="G21" s="28">
        <f>'8 Hosting (1)'!L4+'8 Hosting (1)'!L6+'8 Hosting (1)'!L8+'8 Hosting (1)'!L10+'8 Hosting (1)'!L12</f>
        <v>5.75</v>
      </c>
      <c r="H21" s="28">
        <f>'8 Hosting (2)'!L3+'8 Hosting (2)'!L5+'8 Hosting (2)'!L7+'8 Hosting (2)'!L9+'8 Hosting (2)'!L11</f>
        <v>2.5</v>
      </c>
      <c r="I21" s="28">
        <f>'8 Hosting (1)'!M4+'8 Hosting (1)'!M6+'8 Hosting (1)'!M8+'8 Hosting (1)'!M10+'8 Hosting (1)'!M12</f>
        <v>5.75</v>
      </c>
      <c r="J21" s="28">
        <f>'8 Hosting (2)'!M3+'8 Hosting (2)'!M5+'8 Hosting (2)'!M7+'8 Hosting (2)'!M9+'8 Hosting (2)'!M11</f>
        <v>4.75</v>
      </c>
    </row>
    <row r="22" ht="12.75" customHeight="1">
      <c r="A22" s="11"/>
      <c r="B22" s="43" t="s">
        <v>35</v>
      </c>
      <c r="C22" s="44">
        <f t="shared" si="2"/>
        <v>0.7931034483</v>
      </c>
      <c r="D22" s="11"/>
      <c r="E22" s="28">
        <f t="shared" si="3"/>
        <v>5.75</v>
      </c>
      <c r="F22" s="28">
        <f t="shared" si="4"/>
        <v>7.25</v>
      </c>
      <c r="G22" s="28">
        <f>'9 Algorithmics'!L3+'9 Algorithmics'!L5+'9 Algorithmics'!L7+'9 Algorithmics'!L9+'9 Algorithmics'!L11+'9 Algorithmics'!L13+'9 Algorithmics'!L15</f>
        <v>5.75</v>
      </c>
      <c r="H22" s="28"/>
      <c r="I22" s="28">
        <f>'9 Algorithmics'!M3+'9 Algorithmics'!M5+'9 Algorithmics'!M7+'9 Algorithmics'!M9+'9 Algorithmics'!M11+'9 Algorithmics'!M13+'9 Algorithmics'!M15</f>
        <v>7.25</v>
      </c>
      <c r="J22" s="28"/>
    </row>
    <row r="23" ht="12.75" customHeight="1">
      <c r="A23" s="11"/>
      <c r="B23" s="11"/>
      <c r="C23" s="11"/>
      <c r="D23" s="11"/>
      <c r="E23" s="36"/>
      <c r="F23" s="36"/>
      <c r="G23" s="36"/>
      <c r="H23" s="36"/>
      <c r="I23" s="36"/>
      <c r="J23" s="36"/>
    </row>
    <row r="24" ht="84.0" customHeight="1">
      <c r="A24" s="45" t="s">
        <v>36</v>
      </c>
      <c r="B24" s="2"/>
      <c r="C24" s="2"/>
      <c r="D24" s="3"/>
      <c r="E24" s="46" t="s">
        <v>37</v>
      </c>
      <c r="F24" s="13"/>
      <c r="G24" s="13"/>
      <c r="H24" s="13"/>
      <c r="I24" s="13"/>
      <c r="J24" s="14"/>
    </row>
    <row r="25" ht="12.75" customHeight="1">
      <c r="A25" s="11"/>
      <c r="B25" s="11"/>
      <c r="C25" s="11"/>
      <c r="D25" s="11"/>
      <c r="E25" s="17"/>
      <c r="J25" s="18"/>
    </row>
    <row r="26" ht="86.25" customHeight="1">
      <c r="A26" s="45" t="s">
        <v>38</v>
      </c>
      <c r="B26" s="2"/>
      <c r="C26" s="2"/>
      <c r="D26" s="3"/>
      <c r="E26" s="23"/>
      <c r="F26" s="24"/>
      <c r="G26" s="24"/>
      <c r="H26" s="24"/>
      <c r="I26" s="24"/>
      <c r="J26" s="25"/>
    </row>
    <row r="27" ht="12.75" customHeight="1">
      <c r="E27" s="47" t="s">
        <v>39</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1">
    <mergeCell ref="A24:D24"/>
    <mergeCell ref="E24:J26"/>
    <mergeCell ref="A26:D26"/>
    <mergeCell ref="E27:J27"/>
    <mergeCell ref="A1:D1"/>
    <mergeCell ref="E1:J1"/>
    <mergeCell ref="A2:D2"/>
    <mergeCell ref="E2:J2"/>
    <mergeCell ref="A3:D3"/>
    <mergeCell ref="E3:J3"/>
    <mergeCell ref="E4:J9"/>
  </mergeCells>
  <hyperlinks>
    <hyperlink r:id="rId1" ref="A3"/>
  </hyperlink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40</v>
      </c>
      <c r="B1" s="2"/>
      <c r="C1" s="2"/>
      <c r="D1" s="2"/>
      <c r="E1" s="2"/>
      <c r="F1" s="2"/>
      <c r="G1" s="3"/>
      <c r="H1" s="48" t="s">
        <v>41</v>
      </c>
      <c r="I1" s="2"/>
      <c r="J1" s="2"/>
      <c r="K1" s="3"/>
      <c r="L1" s="49" t="s">
        <v>42</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56</v>
      </c>
      <c r="P2" s="55"/>
      <c r="Q2" s="55"/>
      <c r="R2" s="55"/>
      <c r="S2" s="55"/>
      <c r="T2" s="55"/>
      <c r="U2" s="55"/>
      <c r="V2" s="55"/>
      <c r="W2" s="55"/>
      <c r="X2" s="55"/>
      <c r="Y2" s="55"/>
      <c r="Z2" s="55"/>
      <c r="AA2" s="55"/>
      <c r="AB2" s="55"/>
      <c r="AC2" s="55"/>
      <c r="AD2" s="55"/>
      <c r="AE2" s="55"/>
      <c r="AF2" s="55"/>
      <c r="AG2" s="55"/>
      <c r="AH2" s="55"/>
      <c r="AI2" s="55"/>
    </row>
    <row r="3" ht="12.75" customHeight="1">
      <c r="A3" s="56" t="s">
        <v>57</v>
      </c>
      <c r="B3" s="57" t="s">
        <v>58</v>
      </c>
      <c r="C3" s="58" t="s">
        <v>59</v>
      </c>
      <c r="D3" s="59" t="s">
        <v>60</v>
      </c>
      <c r="E3" s="60" t="s">
        <v>61</v>
      </c>
      <c r="F3" s="61" t="s">
        <v>19</v>
      </c>
      <c r="G3" s="62" t="s">
        <v>62</v>
      </c>
      <c r="H3" s="63" t="s">
        <v>63</v>
      </c>
      <c r="I3" s="64"/>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1.5</v>
      </c>
      <c r="M3" s="65">
        <f>IFS(D3="Top priority",IFS(E3="Validated",1.5,E3="Ongoing",1.5,E3="Not validated",1.5,E3="Non applicable",0,E3="To evaluate",1.5),D3="Recommanded",IFS(E3="Validated",1.25,E3="Ongoing",1.25,E3="Not validated",1.25,E3="Non applicable",0,E3="To evaluate",1.25),D3="Moderate",IFS(E3="Validated",1,E3="Ongoing",1,E3="Not validated",1,E3="Non applicable",0,E3="To evaluate",1))</f>
        <v>1.5</v>
      </c>
      <c r="N3" s="66" t="s">
        <v>64</v>
      </c>
      <c r="O3" s="67" t="s">
        <v>65</v>
      </c>
    </row>
    <row r="4" ht="44.25" customHeight="1">
      <c r="A4" s="68"/>
      <c r="B4" s="69"/>
      <c r="C4" s="70"/>
      <c r="D4" s="2"/>
      <c r="E4" s="2"/>
      <c r="F4" s="2"/>
      <c r="G4" s="3"/>
      <c r="H4" s="71" t="s">
        <v>66</v>
      </c>
      <c r="I4" s="2"/>
      <c r="J4" s="2"/>
      <c r="K4" s="2"/>
      <c r="L4" s="2"/>
      <c r="M4" s="2"/>
      <c r="N4" s="3"/>
      <c r="O4" s="69"/>
    </row>
    <row r="5" ht="12.75" customHeight="1">
      <c r="A5" s="68"/>
      <c r="B5" s="72" t="s">
        <v>67</v>
      </c>
      <c r="C5" s="73" t="s">
        <v>68</v>
      </c>
      <c r="D5" s="59" t="s">
        <v>60</v>
      </c>
      <c r="E5" s="74" t="s">
        <v>61</v>
      </c>
      <c r="F5" s="75" t="s">
        <v>19</v>
      </c>
      <c r="G5" s="76" t="s">
        <v>69</v>
      </c>
      <c r="H5" s="63" t="s">
        <v>70</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1.5</v>
      </c>
      <c r="M5" s="65">
        <f>IFS(D5="Top priority",IFS(E5="Validated",1.5,E5="Ongoing",1.5,E5="Not validated",1.5,E5="Not applicable",0,E5="To evaluate",1.5),D5="Recommanded",IFS(E5="Validated",1.25,E5="Ongoing",1.25,E5="Not validated",1.25,E5="Not applicable",0,E5="To evaluate",1.25),D5="Moderate",IFS(E5="Validated",1,E5="Ongoing",1,E5="Not validated",1,E5="Not applicable",0,E5="O7",1))</f>
        <v>1.5</v>
      </c>
      <c r="N5" s="66" t="s">
        <v>64</v>
      </c>
      <c r="O5" s="67" t="s">
        <v>71</v>
      </c>
    </row>
    <row r="6" ht="48.75" customHeight="1">
      <c r="A6" s="68"/>
      <c r="B6" s="69"/>
      <c r="C6" s="77"/>
      <c r="D6" s="2"/>
      <c r="E6" s="2"/>
      <c r="F6" s="2"/>
      <c r="G6" s="3"/>
      <c r="H6" s="71" t="s">
        <v>72</v>
      </c>
      <c r="I6" s="2"/>
      <c r="J6" s="2"/>
      <c r="K6" s="2"/>
      <c r="L6" s="2"/>
      <c r="M6" s="2"/>
      <c r="N6" s="3"/>
      <c r="O6" s="69"/>
    </row>
    <row r="7" ht="12.75" customHeight="1">
      <c r="A7" s="68"/>
      <c r="B7" s="57" t="s">
        <v>73</v>
      </c>
      <c r="C7" s="58" t="s">
        <v>74</v>
      </c>
      <c r="D7" s="78" t="s">
        <v>75</v>
      </c>
      <c r="E7" s="79" t="s">
        <v>61</v>
      </c>
      <c r="F7" s="61" t="s">
        <v>19</v>
      </c>
      <c r="G7" s="62" t="s">
        <v>76</v>
      </c>
      <c r="H7" s="63" t="s">
        <v>70</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1.25</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1.25</v>
      </c>
      <c r="N7" s="66" t="s">
        <v>64</v>
      </c>
      <c r="O7" s="67" t="s">
        <v>77</v>
      </c>
    </row>
    <row r="8" ht="51.0" customHeight="1">
      <c r="A8" s="68"/>
      <c r="B8" s="69"/>
      <c r="C8" s="70"/>
      <c r="D8" s="2"/>
      <c r="E8" s="2"/>
      <c r="F8" s="2"/>
      <c r="G8" s="3"/>
      <c r="H8" s="71" t="s">
        <v>78</v>
      </c>
      <c r="I8" s="2"/>
      <c r="J8" s="2"/>
      <c r="K8" s="2"/>
      <c r="L8" s="2"/>
      <c r="M8" s="2"/>
      <c r="N8" s="3"/>
      <c r="O8" s="69"/>
    </row>
    <row r="9" ht="12.75" customHeight="1">
      <c r="A9" s="68"/>
      <c r="B9" s="72" t="s">
        <v>79</v>
      </c>
      <c r="C9" s="73" t="s">
        <v>80</v>
      </c>
      <c r="D9" s="59" t="s">
        <v>60</v>
      </c>
      <c r="E9" s="74" t="s">
        <v>61</v>
      </c>
      <c r="F9" s="75" t="s">
        <v>19</v>
      </c>
      <c r="G9" s="76" t="s">
        <v>81</v>
      </c>
      <c r="H9" s="63" t="s">
        <v>82</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1.5</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1.5</v>
      </c>
      <c r="N9" s="66" t="s">
        <v>64</v>
      </c>
      <c r="O9" s="67" t="s">
        <v>83</v>
      </c>
    </row>
    <row r="10" ht="41.25" customHeight="1">
      <c r="A10" s="68"/>
      <c r="B10" s="69"/>
      <c r="C10" s="77"/>
      <c r="D10" s="2"/>
      <c r="E10" s="2"/>
      <c r="F10" s="2"/>
      <c r="G10" s="3"/>
      <c r="H10" s="71" t="s">
        <v>84</v>
      </c>
      <c r="I10" s="2"/>
      <c r="J10" s="2"/>
      <c r="K10" s="2"/>
      <c r="L10" s="2"/>
      <c r="M10" s="2"/>
      <c r="N10" s="3"/>
      <c r="O10" s="69"/>
    </row>
    <row r="11" ht="12.75" customHeight="1">
      <c r="A11" s="68"/>
      <c r="B11" s="57" t="s">
        <v>85</v>
      </c>
      <c r="C11" s="58" t="s">
        <v>86</v>
      </c>
      <c r="D11" s="59" t="s">
        <v>60</v>
      </c>
      <c r="E11" s="79" t="s">
        <v>61</v>
      </c>
      <c r="F11" s="61" t="s">
        <v>19</v>
      </c>
      <c r="G11" s="62" t="s">
        <v>87</v>
      </c>
      <c r="H11" s="63" t="s">
        <v>63</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1.5</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1.5</v>
      </c>
      <c r="N11" s="66" t="s">
        <v>64</v>
      </c>
      <c r="O11" s="67" t="s">
        <v>88</v>
      </c>
    </row>
    <row r="12" ht="87.75" customHeight="1">
      <c r="A12" s="69"/>
      <c r="B12" s="69"/>
      <c r="C12" s="70"/>
      <c r="D12" s="2"/>
      <c r="E12" s="2"/>
      <c r="F12" s="2"/>
      <c r="G12" s="3"/>
      <c r="H12" s="80" t="s">
        <v>89</v>
      </c>
      <c r="I12" s="2"/>
      <c r="J12" s="2"/>
      <c r="K12" s="2"/>
      <c r="L12" s="2"/>
      <c r="M12" s="2"/>
      <c r="N12" s="3"/>
      <c r="O12" s="69"/>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A1:G1"/>
    <mergeCell ref="H1:K1"/>
    <mergeCell ref="L1:O1"/>
    <mergeCell ref="A2:B2"/>
    <mergeCell ref="A3:A12"/>
    <mergeCell ref="B3:B4"/>
    <mergeCell ref="B5:B6"/>
  </mergeCells>
  <dataValidations>
    <dataValidation type="list" allowBlank="1" showErrorMessage="1" sqref="E3 E5 E7 E9 E11">
      <formula1>"Ongoing,Validated,Non validated,To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90</v>
      </c>
      <c r="B1" s="2"/>
      <c r="C1" s="2"/>
      <c r="D1" s="2"/>
      <c r="E1" s="2"/>
      <c r="F1" s="2"/>
      <c r="G1" s="3"/>
      <c r="H1" s="48" t="s">
        <v>91</v>
      </c>
      <c r="I1" s="2"/>
      <c r="J1" s="2"/>
      <c r="K1" s="3"/>
      <c r="L1" s="49" t="s">
        <v>92</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93</v>
      </c>
      <c r="P2" s="55"/>
      <c r="Q2" s="55"/>
      <c r="R2" s="55"/>
      <c r="S2" s="55"/>
      <c r="T2" s="55"/>
      <c r="U2" s="55"/>
      <c r="V2" s="55"/>
      <c r="W2" s="55"/>
      <c r="X2" s="55"/>
      <c r="Y2" s="55"/>
      <c r="Z2" s="55"/>
      <c r="AA2" s="55"/>
      <c r="AB2" s="55"/>
      <c r="AC2" s="55"/>
      <c r="AD2" s="55"/>
      <c r="AE2" s="55"/>
      <c r="AF2" s="55"/>
      <c r="AG2" s="55"/>
      <c r="AH2" s="55"/>
      <c r="AI2" s="55"/>
    </row>
    <row r="3" ht="12.75" customHeight="1">
      <c r="A3" s="56" t="s">
        <v>94</v>
      </c>
      <c r="B3" s="57" t="s">
        <v>95</v>
      </c>
      <c r="C3" s="58" t="s">
        <v>96</v>
      </c>
      <c r="D3" s="78" t="s">
        <v>75</v>
      </c>
      <c r="E3" s="79" t="s">
        <v>61</v>
      </c>
      <c r="F3" s="61" t="s">
        <v>19</v>
      </c>
      <c r="G3" s="62" t="s">
        <v>97</v>
      </c>
      <c r="H3" s="63" t="s">
        <v>82</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1.25</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1.25</v>
      </c>
      <c r="N3" s="66" t="s">
        <v>64</v>
      </c>
      <c r="O3" s="67" t="s">
        <v>98</v>
      </c>
    </row>
    <row r="4" ht="112.5" customHeight="1">
      <c r="A4" s="68"/>
      <c r="B4" s="69"/>
      <c r="C4" s="70"/>
      <c r="D4" s="2"/>
      <c r="E4" s="2"/>
      <c r="F4" s="2"/>
      <c r="G4" s="3"/>
      <c r="H4" s="81" t="s">
        <v>99</v>
      </c>
      <c r="I4" s="2"/>
      <c r="J4" s="2"/>
      <c r="K4" s="2"/>
      <c r="L4" s="2"/>
      <c r="M4" s="2"/>
      <c r="N4" s="3"/>
      <c r="O4" s="69"/>
    </row>
    <row r="5" ht="12.75" customHeight="1">
      <c r="A5" s="68"/>
      <c r="B5" s="72" t="s">
        <v>100</v>
      </c>
      <c r="C5" s="73" t="s">
        <v>101</v>
      </c>
      <c r="D5" s="82" t="s">
        <v>102</v>
      </c>
      <c r="E5" s="83" t="s">
        <v>103</v>
      </c>
      <c r="F5" s="75" t="s">
        <v>19</v>
      </c>
      <c r="G5" s="84"/>
      <c r="H5" s="63" t="s">
        <v>82</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0</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1</v>
      </c>
      <c r="N5" s="66" t="s">
        <v>104</v>
      </c>
      <c r="O5" s="85" t="s">
        <v>105</v>
      </c>
    </row>
    <row r="6" ht="50.25" customHeight="1">
      <c r="A6" s="68"/>
      <c r="B6" s="69"/>
      <c r="C6" s="77"/>
      <c r="D6" s="2"/>
      <c r="E6" s="2"/>
      <c r="F6" s="2"/>
      <c r="G6" s="3"/>
      <c r="H6" s="86" t="s">
        <v>106</v>
      </c>
      <c r="I6" s="2"/>
      <c r="J6" s="2"/>
      <c r="K6" s="2"/>
      <c r="L6" s="2"/>
      <c r="M6" s="2"/>
      <c r="N6" s="3"/>
      <c r="O6" s="69"/>
    </row>
    <row r="7" ht="12.75" customHeight="1">
      <c r="A7" s="68"/>
      <c r="B7" s="57" t="s">
        <v>107</v>
      </c>
      <c r="C7" s="58" t="s">
        <v>108</v>
      </c>
      <c r="D7" s="78" t="s">
        <v>75</v>
      </c>
      <c r="E7" s="79" t="s">
        <v>61</v>
      </c>
      <c r="F7" s="61" t="s">
        <v>19</v>
      </c>
      <c r="G7" s="62" t="s">
        <v>109</v>
      </c>
      <c r="H7" s="63" t="s">
        <v>63</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1.25</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1.25</v>
      </c>
      <c r="N7" s="66" t="s">
        <v>64</v>
      </c>
      <c r="O7" s="67" t="s">
        <v>110</v>
      </c>
    </row>
    <row r="8" ht="48.75" customHeight="1">
      <c r="A8" s="68"/>
      <c r="B8" s="69"/>
      <c r="C8" s="70"/>
      <c r="D8" s="2"/>
      <c r="E8" s="2"/>
      <c r="F8" s="2"/>
      <c r="G8" s="3"/>
      <c r="H8" s="71" t="s">
        <v>111</v>
      </c>
      <c r="I8" s="2"/>
      <c r="J8" s="2"/>
      <c r="K8" s="2"/>
      <c r="L8" s="2"/>
      <c r="M8" s="2"/>
      <c r="N8" s="3"/>
      <c r="O8" s="69"/>
    </row>
    <row r="9" ht="12.75" customHeight="1">
      <c r="A9" s="68"/>
      <c r="B9" s="72" t="s">
        <v>112</v>
      </c>
      <c r="C9" s="73" t="s">
        <v>113</v>
      </c>
      <c r="D9" s="59" t="s">
        <v>60</v>
      </c>
      <c r="E9" s="74" t="s">
        <v>61</v>
      </c>
      <c r="F9" s="75" t="s">
        <v>19</v>
      </c>
      <c r="G9" s="76" t="s">
        <v>114</v>
      </c>
      <c r="H9" s="63" t="s">
        <v>82</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1.5</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1.5</v>
      </c>
      <c r="N9" s="87" t="s">
        <v>64</v>
      </c>
      <c r="O9" s="67" t="s">
        <v>115</v>
      </c>
    </row>
    <row r="10" ht="34.5" customHeight="1">
      <c r="A10" s="68"/>
      <c r="B10" s="69"/>
      <c r="C10" s="77"/>
      <c r="D10" s="2"/>
      <c r="E10" s="2"/>
      <c r="F10" s="2"/>
      <c r="G10" s="3"/>
      <c r="H10" s="71" t="s">
        <v>116</v>
      </c>
      <c r="I10" s="2"/>
      <c r="J10" s="2"/>
      <c r="K10" s="2"/>
      <c r="L10" s="2"/>
      <c r="M10" s="2"/>
      <c r="N10" s="3"/>
      <c r="O10" s="69"/>
    </row>
    <row r="11" ht="12.75" customHeight="1">
      <c r="A11" s="68"/>
      <c r="B11" s="57" t="s">
        <v>117</v>
      </c>
      <c r="C11" s="58" t="s">
        <v>118</v>
      </c>
      <c r="D11" s="78" t="s">
        <v>75</v>
      </c>
      <c r="E11" s="79" t="s">
        <v>61</v>
      </c>
      <c r="F11" s="61" t="s">
        <v>19</v>
      </c>
      <c r="G11" s="62" t="s">
        <v>119</v>
      </c>
      <c r="H11" s="63" t="s">
        <v>63</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1.25</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1.25</v>
      </c>
      <c r="N11" s="87" t="s">
        <v>64</v>
      </c>
      <c r="O11" s="67" t="s">
        <v>120</v>
      </c>
    </row>
    <row r="12" ht="34.5" customHeight="1">
      <c r="A12" s="69"/>
      <c r="B12" s="69"/>
      <c r="C12" s="70"/>
      <c r="D12" s="2"/>
      <c r="E12" s="2"/>
      <c r="F12" s="2"/>
      <c r="G12" s="3"/>
      <c r="H12" s="71" t="s">
        <v>121</v>
      </c>
      <c r="I12" s="2"/>
      <c r="J12" s="2"/>
      <c r="K12" s="2"/>
      <c r="L12" s="2"/>
      <c r="M12" s="2"/>
      <c r="N12" s="3"/>
      <c r="O12" s="69"/>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A1:G1"/>
    <mergeCell ref="H1:K1"/>
    <mergeCell ref="L1:O1"/>
    <mergeCell ref="A2:B2"/>
    <mergeCell ref="A3:A12"/>
    <mergeCell ref="B3:B4"/>
    <mergeCell ref="B5:B6"/>
  </mergeCells>
  <dataValidations>
    <dataValidation type="list" allowBlank="1" showErrorMessage="1" sqref="E3 E7 E9">
      <formula1>"Ongoing,Validated,Not validated,To evaluate"</formula1>
    </dataValidation>
    <dataValidation type="list" allowBlank="1" showErrorMessage="1" sqref="E5 E11">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122</v>
      </c>
      <c r="B1" s="2"/>
      <c r="C1" s="2"/>
      <c r="D1" s="2"/>
      <c r="E1" s="2"/>
      <c r="F1" s="2"/>
      <c r="G1" s="3"/>
      <c r="H1" s="48" t="s">
        <v>123</v>
      </c>
      <c r="I1" s="2"/>
      <c r="J1" s="2"/>
      <c r="K1" s="3"/>
      <c r="L1" s="49" t="s">
        <v>124</v>
      </c>
      <c r="M1" s="2"/>
      <c r="N1" s="2"/>
      <c r="O1" s="3"/>
      <c r="P1" s="55"/>
      <c r="Q1" s="55"/>
      <c r="R1" s="55"/>
      <c r="S1" s="55"/>
      <c r="T1" s="55"/>
      <c r="U1" s="55"/>
      <c r="V1" s="55"/>
      <c r="W1" s="55"/>
      <c r="X1" s="55"/>
      <c r="Y1" s="55"/>
      <c r="Z1" s="55"/>
      <c r="AA1" s="55"/>
      <c r="AB1" s="55"/>
      <c r="AC1" s="55"/>
      <c r="AD1" s="55"/>
      <c r="AE1" s="55"/>
      <c r="AF1" s="55"/>
      <c r="AG1" s="55"/>
      <c r="AH1" s="55"/>
      <c r="AI1" s="55"/>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125</v>
      </c>
      <c r="P2" s="55"/>
      <c r="Q2" s="55"/>
      <c r="R2" s="55"/>
      <c r="S2" s="55"/>
      <c r="T2" s="55"/>
      <c r="U2" s="55"/>
      <c r="V2" s="55"/>
      <c r="W2" s="55"/>
      <c r="X2" s="55"/>
      <c r="Y2" s="55"/>
      <c r="Z2" s="55"/>
      <c r="AA2" s="55"/>
      <c r="AB2" s="55"/>
      <c r="AC2" s="55"/>
      <c r="AD2" s="55"/>
      <c r="AE2" s="55"/>
      <c r="AF2" s="55"/>
      <c r="AG2" s="55"/>
      <c r="AH2" s="55"/>
      <c r="AI2" s="55"/>
    </row>
    <row r="3" ht="12.75" customHeight="1">
      <c r="A3" s="56" t="s">
        <v>126</v>
      </c>
      <c r="B3" s="57" t="s">
        <v>127</v>
      </c>
      <c r="C3" s="58" t="s">
        <v>128</v>
      </c>
      <c r="D3" s="88" t="s">
        <v>60</v>
      </c>
      <c r="E3" s="89" t="s">
        <v>61</v>
      </c>
      <c r="F3" s="61" t="s">
        <v>19</v>
      </c>
      <c r="G3" s="62" t="s">
        <v>129</v>
      </c>
      <c r="H3" s="63" t="s">
        <v>82</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1.5</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1.5</v>
      </c>
      <c r="N3" s="66" t="s">
        <v>64</v>
      </c>
      <c r="O3" s="67" t="s">
        <v>130</v>
      </c>
      <c r="P3" s="55"/>
      <c r="Q3" s="55"/>
      <c r="R3" s="55"/>
      <c r="S3" s="55"/>
      <c r="T3" s="55"/>
      <c r="U3" s="55"/>
      <c r="V3" s="55"/>
      <c r="W3" s="55"/>
      <c r="X3" s="55"/>
      <c r="Y3" s="55"/>
      <c r="Z3" s="55"/>
      <c r="AA3" s="55"/>
      <c r="AB3" s="55"/>
      <c r="AC3" s="55"/>
      <c r="AD3" s="55"/>
      <c r="AE3" s="55"/>
      <c r="AF3" s="55"/>
      <c r="AG3" s="55"/>
      <c r="AH3" s="55"/>
      <c r="AI3" s="55"/>
    </row>
    <row r="4" ht="60.75" customHeight="1">
      <c r="A4" s="68"/>
      <c r="B4" s="69"/>
      <c r="C4" s="70"/>
      <c r="D4" s="2"/>
      <c r="E4" s="2"/>
      <c r="F4" s="2"/>
      <c r="G4" s="3"/>
      <c r="H4" s="71" t="s">
        <v>131</v>
      </c>
      <c r="I4" s="2"/>
      <c r="J4" s="2"/>
      <c r="K4" s="2"/>
      <c r="L4" s="2"/>
      <c r="M4" s="2"/>
      <c r="N4" s="3"/>
      <c r="O4" s="69"/>
      <c r="P4" s="55"/>
      <c r="Q4" s="55"/>
      <c r="R4" s="55"/>
      <c r="S4" s="55"/>
      <c r="T4" s="55"/>
      <c r="U4" s="55"/>
      <c r="V4" s="55"/>
      <c r="W4" s="55"/>
      <c r="X4" s="55"/>
      <c r="Y4" s="55"/>
      <c r="Z4" s="55"/>
      <c r="AA4" s="55"/>
      <c r="AB4" s="55"/>
      <c r="AC4" s="55"/>
      <c r="AD4" s="55"/>
      <c r="AE4" s="55"/>
      <c r="AF4" s="55"/>
      <c r="AG4" s="55"/>
      <c r="AH4" s="55"/>
      <c r="AI4" s="55"/>
    </row>
    <row r="5" ht="12.75" customHeight="1">
      <c r="A5" s="68"/>
      <c r="B5" s="72" t="s">
        <v>132</v>
      </c>
      <c r="C5" s="73" t="s">
        <v>133</v>
      </c>
      <c r="D5" s="88" t="s">
        <v>60</v>
      </c>
      <c r="E5" s="90" t="s">
        <v>61</v>
      </c>
      <c r="F5" s="75" t="s">
        <v>19</v>
      </c>
      <c r="G5" s="76" t="s">
        <v>134</v>
      </c>
      <c r="H5" s="63" t="s">
        <v>82</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1.5</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1.5</v>
      </c>
      <c r="N5" s="91" t="s">
        <v>64</v>
      </c>
      <c r="O5" s="67" t="s">
        <v>135</v>
      </c>
      <c r="P5" s="55"/>
      <c r="Q5" s="55"/>
      <c r="R5" s="55"/>
      <c r="S5" s="55"/>
      <c r="T5" s="55"/>
      <c r="U5" s="55"/>
      <c r="V5" s="55"/>
      <c r="W5" s="55"/>
      <c r="X5" s="55"/>
      <c r="Y5" s="55"/>
      <c r="Z5" s="55"/>
      <c r="AA5" s="55"/>
      <c r="AB5" s="55"/>
      <c r="AC5" s="55"/>
      <c r="AD5" s="55"/>
      <c r="AE5" s="55"/>
      <c r="AF5" s="55"/>
      <c r="AG5" s="55"/>
      <c r="AH5" s="55"/>
      <c r="AI5" s="55"/>
    </row>
    <row r="6" ht="157.5" customHeight="1">
      <c r="A6" s="68"/>
      <c r="B6" s="69"/>
      <c r="C6" s="77"/>
      <c r="D6" s="2"/>
      <c r="E6" s="2"/>
      <c r="F6" s="2"/>
      <c r="G6" s="3"/>
      <c r="H6" s="71" t="s">
        <v>136</v>
      </c>
      <c r="I6" s="2"/>
      <c r="J6" s="2"/>
      <c r="K6" s="2"/>
      <c r="L6" s="2"/>
      <c r="M6" s="2"/>
      <c r="N6" s="3"/>
      <c r="O6" s="69"/>
      <c r="P6" s="55"/>
      <c r="Q6" s="55"/>
      <c r="R6" s="55"/>
      <c r="S6" s="55"/>
      <c r="T6" s="55"/>
      <c r="U6" s="55"/>
      <c r="V6" s="55"/>
      <c r="W6" s="55"/>
      <c r="X6" s="55"/>
      <c r="Y6" s="55"/>
      <c r="Z6" s="55"/>
      <c r="AA6" s="55"/>
      <c r="AB6" s="55"/>
      <c r="AC6" s="55"/>
      <c r="AD6" s="55"/>
      <c r="AE6" s="55"/>
      <c r="AF6" s="55"/>
      <c r="AG6" s="55"/>
      <c r="AH6" s="55"/>
      <c r="AI6" s="55"/>
    </row>
    <row r="7" ht="12.75" customHeight="1">
      <c r="A7" s="68"/>
      <c r="B7" s="57" t="s">
        <v>137</v>
      </c>
      <c r="C7" s="58" t="s">
        <v>138</v>
      </c>
      <c r="D7" s="92" t="s">
        <v>75</v>
      </c>
      <c r="E7" s="89" t="s">
        <v>61</v>
      </c>
      <c r="F7" s="61" t="s">
        <v>19</v>
      </c>
      <c r="G7" s="62" t="s">
        <v>139</v>
      </c>
      <c r="H7" s="63" t="s">
        <v>82</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1.25</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1.25</v>
      </c>
      <c r="N7" s="91" t="s">
        <v>64</v>
      </c>
      <c r="O7" s="67" t="s">
        <v>140</v>
      </c>
      <c r="P7" s="55"/>
      <c r="Q7" s="55"/>
      <c r="R7" s="55"/>
      <c r="S7" s="55"/>
      <c r="T7" s="55"/>
      <c r="U7" s="55"/>
      <c r="V7" s="55"/>
      <c r="W7" s="55"/>
      <c r="X7" s="55"/>
      <c r="Y7" s="55"/>
      <c r="Z7" s="55"/>
      <c r="AA7" s="55"/>
      <c r="AB7" s="55"/>
      <c r="AC7" s="55"/>
      <c r="AD7" s="55"/>
      <c r="AE7" s="55"/>
      <c r="AF7" s="55"/>
      <c r="AG7" s="55"/>
      <c r="AH7" s="55"/>
      <c r="AI7" s="55"/>
    </row>
    <row r="8" ht="34.5" customHeight="1">
      <c r="A8" s="68"/>
      <c r="B8" s="69"/>
      <c r="C8" s="70"/>
      <c r="D8" s="2"/>
      <c r="E8" s="2"/>
      <c r="F8" s="2"/>
      <c r="G8" s="3"/>
      <c r="H8" s="71" t="s">
        <v>141</v>
      </c>
      <c r="I8" s="2"/>
      <c r="J8" s="2"/>
      <c r="K8" s="2"/>
      <c r="L8" s="2"/>
      <c r="M8" s="2"/>
      <c r="N8" s="3"/>
      <c r="O8" s="69"/>
      <c r="P8" s="55"/>
      <c r="Q8" s="55"/>
      <c r="R8" s="55"/>
      <c r="S8" s="55"/>
      <c r="T8" s="55"/>
      <c r="U8" s="55"/>
      <c r="V8" s="55"/>
      <c r="W8" s="55"/>
      <c r="X8" s="55"/>
      <c r="Y8" s="55"/>
      <c r="Z8" s="55"/>
      <c r="AA8" s="55"/>
      <c r="AB8" s="55"/>
      <c r="AC8" s="55"/>
      <c r="AD8" s="55"/>
      <c r="AE8" s="55"/>
      <c r="AF8" s="55"/>
      <c r="AG8" s="55"/>
      <c r="AH8" s="55"/>
      <c r="AI8" s="55"/>
    </row>
    <row r="9" ht="12.75" customHeight="1">
      <c r="A9" s="68"/>
      <c r="B9" s="72" t="s">
        <v>142</v>
      </c>
      <c r="C9" s="73" t="s">
        <v>143</v>
      </c>
      <c r="D9" s="88" t="s">
        <v>60</v>
      </c>
      <c r="E9" s="90" t="s">
        <v>61</v>
      </c>
      <c r="F9" s="75" t="s">
        <v>19</v>
      </c>
      <c r="G9" s="76" t="s">
        <v>144</v>
      </c>
      <c r="H9" s="63" t="s">
        <v>82</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1.5</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1.5</v>
      </c>
      <c r="N9" s="91" t="s">
        <v>64</v>
      </c>
      <c r="O9" s="67" t="s">
        <v>145</v>
      </c>
      <c r="P9" s="55"/>
      <c r="Q9" s="55"/>
      <c r="R9" s="55"/>
      <c r="S9" s="55"/>
      <c r="T9" s="55"/>
      <c r="U9" s="55"/>
      <c r="V9" s="55"/>
      <c r="W9" s="55"/>
      <c r="X9" s="55"/>
      <c r="Y9" s="55"/>
      <c r="Z9" s="55"/>
      <c r="AA9" s="55"/>
      <c r="AB9" s="55"/>
      <c r="AC9" s="55"/>
      <c r="AD9" s="55"/>
      <c r="AE9" s="55"/>
      <c r="AF9" s="55"/>
      <c r="AG9" s="55"/>
      <c r="AH9" s="55"/>
      <c r="AI9" s="55"/>
    </row>
    <row r="10" ht="157.5" customHeight="1">
      <c r="A10" s="68"/>
      <c r="B10" s="69"/>
      <c r="C10" s="77"/>
      <c r="D10" s="2"/>
      <c r="E10" s="2"/>
      <c r="F10" s="2"/>
      <c r="G10" s="3"/>
      <c r="H10" s="71" t="s">
        <v>146</v>
      </c>
      <c r="I10" s="2"/>
      <c r="J10" s="2"/>
      <c r="K10" s="2"/>
      <c r="L10" s="2"/>
      <c r="M10" s="2"/>
      <c r="N10" s="3"/>
      <c r="O10" s="69"/>
      <c r="P10" s="55"/>
      <c r="Q10" s="55"/>
      <c r="R10" s="55"/>
      <c r="S10" s="55"/>
      <c r="T10" s="55"/>
      <c r="U10" s="55"/>
      <c r="V10" s="55"/>
      <c r="W10" s="55"/>
      <c r="X10" s="55"/>
      <c r="Y10" s="55"/>
      <c r="Z10" s="55"/>
      <c r="AA10" s="55"/>
      <c r="AB10" s="55"/>
      <c r="AC10" s="55"/>
      <c r="AD10" s="55"/>
      <c r="AE10" s="55"/>
      <c r="AF10" s="55"/>
      <c r="AG10" s="55"/>
      <c r="AH10" s="55"/>
      <c r="AI10" s="55"/>
    </row>
    <row r="11" ht="12.75" customHeight="1">
      <c r="A11" s="68"/>
      <c r="B11" s="57" t="s">
        <v>147</v>
      </c>
      <c r="C11" s="58" t="s">
        <v>148</v>
      </c>
      <c r="D11" s="88" t="s">
        <v>60</v>
      </c>
      <c r="E11" s="89" t="s">
        <v>61</v>
      </c>
      <c r="F11" s="61" t="s">
        <v>19</v>
      </c>
      <c r="G11" s="62" t="s">
        <v>149</v>
      </c>
      <c r="H11" s="63" t="s">
        <v>82</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1.5</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1.5</v>
      </c>
      <c r="N11" s="91" t="s">
        <v>64</v>
      </c>
      <c r="O11" s="67" t="s">
        <v>150</v>
      </c>
      <c r="P11" s="55"/>
      <c r="Q11" s="55"/>
      <c r="R11" s="55"/>
      <c r="S11" s="55"/>
      <c r="T11" s="55"/>
      <c r="U11" s="55"/>
      <c r="V11" s="55"/>
      <c r="W11" s="55"/>
      <c r="X11" s="55"/>
      <c r="Y11" s="55"/>
      <c r="Z11" s="55"/>
      <c r="AA11" s="55"/>
      <c r="AB11" s="55"/>
      <c r="AC11" s="55"/>
      <c r="AD11" s="55"/>
      <c r="AE11" s="55"/>
      <c r="AF11" s="55"/>
      <c r="AG11" s="55"/>
      <c r="AH11" s="55"/>
      <c r="AI11" s="55"/>
    </row>
    <row r="12" ht="131.25" customHeight="1">
      <c r="A12" s="69"/>
      <c r="B12" s="69"/>
      <c r="C12" s="70"/>
      <c r="D12" s="2"/>
      <c r="E12" s="2"/>
      <c r="F12" s="2"/>
      <c r="G12" s="3"/>
      <c r="H12" s="71" t="s">
        <v>151</v>
      </c>
      <c r="I12" s="2"/>
      <c r="J12" s="2"/>
      <c r="K12" s="2"/>
      <c r="L12" s="2"/>
      <c r="M12" s="2"/>
      <c r="N12" s="3"/>
      <c r="O12" s="69"/>
      <c r="P12" s="55"/>
      <c r="Q12" s="55"/>
      <c r="R12" s="55"/>
      <c r="S12" s="55"/>
      <c r="T12" s="55"/>
      <c r="U12" s="55"/>
      <c r="V12" s="55"/>
      <c r="W12" s="55"/>
      <c r="X12" s="55"/>
      <c r="Y12" s="55"/>
      <c r="Z12" s="55"/>
      <c r="AA12" s="55"/>
      <c r="AB12" s="55"/>
      <c r="AC12" s="55"/>
      <c r="AD12" s="55"/>
      <c r="AE12" s="55"/>
      <c r="AF12" s="55"/>
      <c r="AG12" s="55"/>
      <c r="AH12" s="55"/>
      <c r="AI12" s="55"/>
    </row>
    <row r="13" ht="12.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row>
    <row r="14" ht="12.75" customHeight="1">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row>
    <row r="15" ht="12.7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row>
    <row r="16" ht="12.7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row>
    <row r="17" ht="12.7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row>
    <row r="18" ht="12.7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row>
    <row r="19" ht="12.7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row>
    <row r="20" ht="12.7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row>
    <row r="21" ht="12.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row>
    <row r="22" ht="12.7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row>
    <row r="23" ht="12.7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row>
    <row r="24" ht="12.7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row>
    <row r="25" ht="12.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row>
    <row r="26" ht="12.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row>
    <row r="27" ht="12.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row>
    <row r="28" ht="12.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row>
    <row r="29" ht="12.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row>
    <row r="30" ht="12.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row>
    <row r="31" ht="12.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row>
    <row r="32" ht="12.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row>
    <row r="33" ht="12.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row>
    <row r="34" ht="12.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row>
    <row r="35" ht="12.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row>
    <row r="36" ht="12.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row>
    <row r="37" ht="12.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row>
    <row r="38" ht="12.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row>
    <row r="39" ht="12.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row>
    <row r="40" ht="12.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row>
    <row r="41" ht="12.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row>
    <row r="42" ht="12.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row>
    <row r="43" ht="12.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row>
    <row r="44" ht="12.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row>
    <row r="45" ht="12.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row>
    <row r="46" ht="12.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row>
    <row r="47" ht="12.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row>
    <row r="48" ht="12.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row>
    <row r="49" ht="12.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row>
    <row r="50" ht="12.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row>
    <row r="51" ht="12.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row>
    <row r="52" ht="12.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row>
    <row r="53" ht="12.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row>
    <row r="54" ht="12.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row>
    <row r="55" ht="12.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row>
    <row r="56" ht="12.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row>
    <row r="57" ht="12.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row>
    <row r="58" ht="12.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row>
    <row r="59" ht="12.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row>
    <row r="60" ht="12.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row>
    <row r="61" ht="12.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row>
    <row r="62" ht="12.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row>
    <row r="63" ht="12.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row>
    <row r="64" ht="12.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row>
    <row r="65" ht="12.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row>
    <row r="66" ht="12.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row>
    <row r="67" ht="12.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row>
    <row r="68" ht="12.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row>
    <row r="69" ht="12.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row>
    <row r="70" ht="12.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row>
    <row r="71" ht="12.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row>
    <row r="72" ht="12.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row>
    <row r="73" ht="12.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row>
    <row r="74" ht="12.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row>
    <row r="75" ht="12.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row>
    <row r="76" ht="12.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row>
    <row r="77" ht="12.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row>
    <row r="78" ht="12.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row>
    <row r="79" ht="12.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row>
    <row r="80" ht="12.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row>
    <row r="81" ht="12.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row>
    <row r="82" ht="12.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row>
    <row r="83" ht="12.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row>
    <row r="84" ht="12.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row>
    <row r="85" ht="12.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row>
    <row r="86" ht="12.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row>
    <row r="87" ht="12.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row>
    <row r="88" ht="12.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row>
    <row r="89" ht="12.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row>
    <row r="90" ht="12.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row>
    <row r="91" ht="12.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row>
    <row r="92" ht="12.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row>
    <row r="93" ht="12.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row>
    <row r="94" ht="12.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row>
    <row r="95" ht="12.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row>
    <row r="96" ht="12.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row>
    <row r="97" ht="12.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row>
    <row r="98" ht="12.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row>
    <row r="99" ht="12.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row>
    <row r="100" ht="12.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row>
    <row r="101" ht="12.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row>
    <row r="102" ht="12.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row>
    <row r="103" ht="12.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row>
    <row r="104" ht="12.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row>
    <row r="105" ht="12.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row>
    <row r="106" ht="12.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row>
    <row r="107" ht="12.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row>
    <row r="108" ht="12.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row>
    <row r="109" ht="12.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row>
    <row r="110" ht="12.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row>
    <row r="111" ht="12.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row>
    <row r="112" ht="12.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row>
    <row r="113" ht="12.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row>
    <row r="114" ht="12.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row>
    <row r="115" ht="12.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row>
    <row r="116" ht="12.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row>
    <row r="117" ht="12.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row>
    <row r="118" ht="12.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row>
    <row r="119" ht="12.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row>
    <row r="120" ht="12.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row>
    <row r="121" ht="12.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row>
    <row r="122" ht="12.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row>
    <row r="123" ht="12.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row>
    <row r="124" ht="12.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row>
    <row r="125" ht="12.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row>
    <row r="126" ht="12.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row>
    <row r="127" ht="12.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row>
    <row r="128" ht="12.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row>
    <row r="129" ht="12.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row>
    <row r="130" ht="12.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row>
    <row r="131" ht="12.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row>
    <row r="132" ht="12.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row>
    <row r="133" ht="12.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row>
    <row r="134" ht="12.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row>
    <row r="135" ht="12.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row>
    <row r="136" ht="12.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row>
    <row r="137" ht="12.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row>
    <row r="138" ht="12.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row>
    <row r="139" ht="12.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row>
    <row r="140" ht="12.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row>
    <row r="141" ht="12.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row>
    <row r="142" ht="12.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row>
    <row r="143" ht="12.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row>
    <row r="144" ht="12.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row>
    <row r="145" ht="12.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row>
    <row r="146" ht="12.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row>
    <row r="147" ht="12.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row>
    <row r="148" ht="12.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row>
    <row r="149" ht="12.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row>
    <row r="150" ht="12.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row>
    <row r="151" ht="12.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row>
    <row r="152" ht="12.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row>
    <row r="153" ht="12.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row>
    <row r="154" ht="12.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row>
    <row r="155" ht="12.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row>
    <row r="156" ht="12.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row>
    <row r="157" ht="12.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row>
    <row r="158" ht="12.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row>
    <row r="159" ht="12.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row>
    <row r="160" ht="12.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row>
    <row r="161" ht="12.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row>
    <row r="162" ht="12.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row>
    <row r="163" ht="12.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row>
    <row r="164" ht="12.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row>
    <row r="165" ht="12.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row>
    <row r="166" ht="12.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row>
    <row r="167" ht="12.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row>
    <row r="168" ht="12.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row>
    <row r="169" ht="12.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row>
    <row r="170" ht="12.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row>
    <row r="171" ht="12.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row>
    <row r="172" ht="12.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row>
    <row r="173" ht="12.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row>
    <row r="174" ht="12.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row>
    <row r="175" ht="12.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row>
    <row r="176" ht="12.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row>
    <row r="177" ht="12.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row>
    <row r="178" ht="12.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row>
    <row r="179" ht="12.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row>
    <row r="180" ht="12.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row>
    <row r="181" ht="12.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row>
    <row r="182" ht="12.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row>
    <row r="183" ht="12.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row>
    <row r="184" ht="12.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row>
    <row r="185" ht="12.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row>
    <row r="186" ht="12.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row>
    <row r="187" ht="12.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row>
    <row r="188" ht="12.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row>
    <row r="189" ht="12.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row>
    <row r="190" ht="12.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row>
    <row r="191" ht="12.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row>
    <row r="192" ht="12.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row>
    <row r="193" ht="12.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row>
    <row r="194" ht="12.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row>
    <row r="195" ht="12.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row>
    <row r="196" ht="12.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row>
    <row r="197" ht="12.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row>
    <row r="198" ht="12.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row>
    <row r="199" ht="12.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row>
    <row r="200" ht="12.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row>
    <row r="201" ht="12.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row>
    <row r="202" ht="12.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row>
    <row r="203" ht="12.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row>
    <row r="204" ht="12.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row>
    <row r="205" ht="12.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row>
    <row r="206" ht="12.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row>
    <row r="207" ht="12.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row>
    <row r="208" ht="12.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row>
    <row r="209" ht="12.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row>
    <row r="210" ht="12.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row>
    <row r="211" ht="12.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row>
    <row r="212" ht="12.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row>
    <row r="213" ht="12.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row>
    <row r="214" ht="12.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row>
    <row r="215" ht="12.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row>
    <row r="216" ht="12.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row>
    <row r="217" ht="12.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row>
    <row r="218" ht="12.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row>
    <row r="219" ht="12.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row>
    <row r="220" ht="12.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row>
    <row r="221" ht="12.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55"/>
      <c r="AF221" s="55"/>
      <c r="AG221" s="55"/>
      <c r="AH221" s="55"/>
      <c r="AI221" s="55"/>
    </row>
    <row r="222" ht="12.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55"/>
      <c r="AF222" s="55"/>
      <c r="AG222" s="55"/>
      <c r="AH222" s="55"/>
      <c r="AI222" s="55"/>
    </row>
    <row r="223" ht="12.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row>
    <row r="224" ht="12.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55"/>
      <c r="AF224" s="55"/>
      <c r="AG224" s="55"/>
      <c r="AH224" s="55"/>
      <c r="AI224" s="55"/>
    </row>
    <row r="225" ht="12.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55"/>
      <c r="AF225" s="55"/>
      <c r="AG225" s="55"/>
      <c r="AH225" s="55"/>
      <c r="AI225" s="55"/>
    </row>
    <row r="226" ht="12.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row>
    <row r="227" ht="12.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55"/>
      <c r="AF227" s="55"/>
      <c r="AG227" s="55"/>
      <c r="AH227" s="55"/>
      <c r="AI227" s="55"/>
    </row>
    <row r="228" ht="12.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55"/>
      <c r="AF228" s="55"/>
      <c r="AG228" s="55"/>
      <c r="AH228" s="55"/>
      <c r="AI228" s="55"/>
    </row>
    <row r="229" ht="12.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c r="AF229" s="55"/>
      <c r="AG229" s="55"/>
      <c r="AH229" s="55"/>
      <c r="AI229" s="55"/>
    </row>
    <row r="230" ht="12.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55"/>
      <c r="AF230" s="55"/>
      <c r="AG230" s="55"/>
      <c r="AH230" s="55"/>
      <c r="AI230" s="55"/>
    </row>
    <row r="231" ht="12.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55"/>
      <c r="AF231" s="55"/>
      <c r="AG231" s="55"/>
      <c r="AH231" s="55"/>
      <c r="AI231" s="55"/>
    </row>
    <row r="232" ht="12.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55"/>
      <c r="AF232" s="55"/>
      <c r="AG232" s="55"/>
      <c r="AH232" s="55"/>
      <c r="AI232" s="55"/>
    </row>
    <row r="233" ht="12.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55"/>
      <c r="AF233" s="55"/>
      <c r="AG233" s="55"/>
      <c r="AH233" s="55"/>
      <c r="AI233" s="55"/>
    </row>
    <row r="234" ht="12.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55"/>
      <c r="AF234" s="55"/>
      <c r="AG234" s="55"/>
      <c r="AH234" s="55"/>
      <c r="AI234" s="55"/>
    </row>
    <row r="235" ht="12.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c r="AF235" s="55"/>
      <c r="AG235" s="55"/>
      <c r="AH235" s="55"/>
      <c r="AI235" s="55"/>
    </row>
    <row r="236" ht="12.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55"/>
      <c r="AF236" s="55"/>
      <c r="AG236" s="55"/>
      <c r="AH236" s="55"/>
      <c r="AI236" s="55"/>
    </row>
    <row r="237" ht="12.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55"/>
      <c r="AF237" s="55"/>
      <c r="AG237" s="55"/>
      <c r="AH237" s="55"/>
      <c r="AI237" s="55"/>
    </row>
    <row r="238" ht="12.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55"/>
      <c r="AF238" s="55"/>
      <c r="AG238" s="55"/>
      <c r="AH238" s="55"/>
      <c r="AI238" s="55"/>
    </row>
    <row r="239" ht="12.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55"/>
      <c r="AF239" s="55"/>
      <c r="AG239" s="55"/>
      <c r="AH239" s="55"/>
      <c r="AI239" s="55"/>
    </row>
    <row r="240" ht="12.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55"/>
      <c r="AF240" s="55"/>
      <c r="AG240" s="55"/>
      <c r="AH240" s="55"/>
      <c r="AI240" s="55"/>
    </row>
    <row r="241" ht="12.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c r="AF241" s="55"/>
      <c r="AG241" s="55"/>
      <c r="AH241" s="55"/>
      <c r="AI241" s="55"/>
    </row>
    <row r="242" ht="12.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55"/>
      <c r="AF242" s="55"/>
      <c r="AG242" s="55"/>
      <c r="AH242" s="55"/>
      <c r="AI242" s="55"/>
    </row>
    <row r="243" ht="12.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55"/>
      <c r="AF243" s="55"/>
      <c r="AG243" s="55"/>
      <c r="AH243" s="55"/>
      <c r="AI243" s="55"/>
    </row>
    <row r="244" ht="12.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55"/>
      <c r="AF244" s="55"/>
      <c r="AG244" s="55"/>
      <c r="AH244" s="55"/>
      <c r="AI244" s="55"/>
    </row>
    <row r="245" ht="12.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55"/>
      <c r="AF245" s="55"/>
      <c r="AG245" s="55"/>
      <c r="AH245" s="55"/>
      <c r="AI245" s="55"/>
    </row>
    <row r="246" ht="12.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55"/>
      <c r="AF246" s="55"/>
      <c r="AG246" s="55"/>
      <c r="AH246" s="55"/>
      <c r="AI246" s="55"/>
    </row>
    <row r="247" ht="12.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c r="AF247" s="55"/>
      <c r="AG247" s="55"/>
      <c r="AH247" s="55"/>
      <c r="AI247" s="55"/>
    </row>
    <row r="248" ht="12.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55"/>
      <c r="AF248" s="55"/>
      <c r="AG248" s="55"/>
      <c r="AH248" s="55"/>
      <c r="AI248" s="55"/>
    </row>
    <row r="249" ht="12.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55"/>
      <c r="AF249" s="55"/>
      <c r="AG249" s="55"/>
      <c r="AH249" s="55"/>
      <c r="AI249" s="55"/>
    </row>
    <row r="250" ht="12.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55"/>
      <c r="AF250" s="55"/>
      <c r="AG250" s="55"/>
      <c r="AH250" s="55"/>
      <c r="AI250" s="55"/>
    </row>
    <row r="251" ht="12.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55"/>
      <c r="AF251" s="55"/>
      <c r="AG251" s="55"/>
      <c r="AH251" s="55"/>
      <c r="AI251" s="55"/>
    </row>
    <row r="252" ht="12.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55"/>
      <c r="AF252" s="55"/>
      <c r="AG252" s="55"/>
      <c r="AH252" s="55"/>
      <c r="AI252" s="55"/>
    </row>
    <row r="253" ht="12.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c r="AF253" s="55"/>
      <c r="AG253" s="55"/>
      <c r="AH253" s="55"/>
      <c r="AI253" s="55"/>
    </row>
    <row r="254" ht="12.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55"/>
      <c r="AF254" s="55"/>
      <c r="AG254" s="55"/>
      <c r="AH254" s="55"/>
      <c r="AI254" s="55"/>
    </row>
    <row r="255" ht="12.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55"/>
      <c r="AF255" s="55"/>
      <c r="AG255" s="55"/>
      <c r="AH255" s="55"/>
      <c r="AI255" s="55"/>
    </row>
    <row r="256" ht="12.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55"/>
      <c r="AF256" s="55"/>
      <c r="AG256" s="55"/>
      <c r="AH256" s="55"/>
      <c r="AI256" s="55"/>
    </row>
    <row r="257" ht="12.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55"/>
      <c r="AF257" s="55"/>
      <c r="AG257" s="55"/>
      <c r="AH257" s="55"/>
      <c r="AI257" s="55"/>
    </row>
    <row r="258" ht="12.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55"/>
      <c r="AF258" s="55"/>
      <c r="AG258" s="55"/>
      <c r="AH258" s="55"/>
      <c r="AI258" s="55"/>
    </row>
    <row r="259" ht="12.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c r="AF259" s="55"/>
      <c r="AG259" s="55"/>
      <c r="AH259" s="55"/>
      <c r="AI259" s="55"/>
    </row>
    <row r="260" ht="12.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55"/>
      <c r="AF260" s="55"/>
      <c r="AG260" s="55"/>
      <c r="AH260" s="55"/>
      <c r="AI260" s="55"/>
    </row>
    <row r="261" ht="12.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55"/>
      <c r="AF261" s="55"/>
      <c r="AG261" s="55"/>
      <c r="AH261" s="55"/>
      <c r="AI261" s="55"/>
    </row>
    <row r="262" ht="12.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55"/>
      <c r="AF262" s="55"/>
      <c r="AG262" s="55"/>
      <c r="AH262" s="55"/>
      <c r="AI262" s="55"/>
    </row>
    <row r="263" ht="12.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55"/>
      <c r="AF263" s="55"/>
      <c r="AG263" s="55"/>
      <c r="AH263" s="55"/>
      <c r="AI263" s="55"/>
    </row>
    <row r="264" ht="12.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E264" s="55"/>
      <c r="AF264" s="55"/>
      <c r="AG264" s="55"/>
      <c r="AH264" s="55"/>
      <c r="AI264" s="55"/>
    </row>
    <row r="265" ht="12.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c r="AF265" s="55"/>
      <c r="AG265" s="55"/>
      <c r="AH265" s="55"/>
      <c r="AI265" s="55"/>
    </row>
    <row r="266" ht="12.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E266" s="55"/>
      <c r="AF266" s="55"/>
      <c r="AG266" s="55"/>
      <c r="AH266" s="55"/>
      <c r="AI266" s="55"/>
    </row>
    <row r="267" ht="12.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E267" s="55"/>
      <c r="AF267" s="55"/>
      <c r="AG267" s="55"/>
      <c r="AH267" s="55"/>
      <c r="AI267" s="55"/>
    </row>
    <row r="268" ht="12.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E268" s="55"/>
      <c r="AF268" s="55"/>
      <c r="AG268" s="55"/>
      <c r="AH268" s="55"/>
      <c r="AI268" s="55"/>
    </row>
    <row r="269" ht="12.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E269" s="55"/>
      <c r="AF269" s="55"/>
      <c r="AG269" s="55"/>
      <c r="AH269" s="55"/>
      <c r="AI269" s="55"/>
    </row>
    <row r="270" ht="12.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c r="AD270" s="55"/>
      <c r="AE270" s="55"/>
      <c r="AF270" s="55"/>
      <c r="AG270" s="55"/>
      <c r="AH270" s="55"/>
      <c r="AI270" s="55"/>
    </row>
    <row r="271" ht="12.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c r="AD271" s="55"/>
      <c r="AE271" s="55"/>
      <c r="AF271" s="55"/>
      <c r="AG271" s="55"/>
      <c r="AH271" s="55"/>
      <c r="AI271" s="55"/>
    </row>
    <row r="272" ht="12.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c r="AD272" s="55"/>
      <c r="AE272" s="55"/>
      <c r="AF272" s="55"/>
      <c r="AG272" s="55"/>
      <c r="AH272" s="55"/>
      <c r="AI272" s="55"/>
    </row>
    <row r="273" ht="12.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55"/>
      <c r="AH273" s="55"/>
      <c r="AI273" s="55"/>
    </row>
    <row r="274" ht="12.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55"/>
      <c r="AH274" s="55"/>
      <c r="AI274" s="55"/>
    </row>
    <row r="275" ht="12.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c r="AD275" s="55"/>
      <c r="AE275" s="55"/>
      <c r="AF275" s="55"/>
      <c r="AG275" s="55"/>
      <c r="AH275" s="55"/>
      <c r="AI275" s="55"/>
    </row>
    <row r="276" ht="12.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c r="AD276" s="55"/>
      <c r="AE276" s="55"/>
      <c r="AF276" s="55"/>
      <c r="AG276" s="55"/>
      <c r="AH276" s="55"/>
      <c r="AI276" s="55"/>
    </row>
    <row r="277" ht="12.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c r="AD277" s="55"/>
      <c r="AE277" s="55"/>
      <c r="AF277" s="55"/>
      <c r="AG277" s="55"/>
      <c r="AH277" s="55"/>
      <c r="AI277" s="55"/>
    </row>
    <row r="278" ht="12.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c r="AD278" s="55"/>
      <c r="AE278" s="55"/>
      <c r="AF278" s="55"/>
      <c r="AG278" s="55"/>
      <c r="AH278" s="55"/>
      <c r="AI278" s="55"/>
    </row>
    <row r="279" ht="12.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row>
    <row r="280" ht="12.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c r="AD280" s="55"/>
      <c r="AE280" s="55"/>
      <c r="AF280" s="55"/>
      <c r="AG280" s="55"/>
      <c r="AH280" s="55"/>
      <c r="AI280" s="55"/>
    </row>
    <row r="281" ht="12.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c r="AD281" s="55"/>
      <c r="AE281" s="55"/>
      <c r="AF281" s="55"/>
      <c r="AG281" s="55"/>
      <c r="AH281" s="55"/>
      <c r="AI281" s="55"/>
    </row>
    <row r="282" ht="12.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row>
    <row r="283" ht="12.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c r="AD283" s="55"/>
      <c r="AE283" s="55"/>
      <c r="AF283" s="55"/>
      <c r="AG283" s="55"/>
      <c r="AH283" s="55"/>
      <c r="AI283" s="55"/>
    </row>
    <row r="284" ht="12.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c r="AD284" s="55"/>
      <c r="AE284" s="55"/>
      <c r="AF284" s="55"/>
      <c r="AG284" s="55"/>
      <c r="AH284" s="55"/>
      <c r="AI284" s="55"/>
    </row>
    <row r="285" ht="12.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c r="AF285" s="55"/>
      <c r="AG285" s="55"/>
      <c r="AH285" s="55"/>
      <c r="AI285" s="55"/>
    </row>
    <row r="286" ht="12.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E286" s="55"/>
      <c r="AF286" s="55"/>
      <c r="AG286" s="55"/>
      <c r="AH286" s="55"/>
      <c r="AI286" s="55"/>
    </row>
    <row r="287" ht="12.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E287" s="55"/>
      <c r="AF287" s="55"/>
      <c r="AG287" s="55"/>
      <c r="AH287" s="55"/>
      <c r="AI287" s="55"/>
    </row>
    <row r="288" ht="12.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E288" s="55"/>
      <c r="AF288" s="55"/>
      <c r="AG288" s="55"/>
      <c r="AH288" s="55"/>
      <c r="AI288" s="55"/>
    </row>
    <row r="289" ht="12.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E289" s="55"/>
      <c r="AF289" s="55"/>
      <c r="AG289" s="55"/>
      <c r="AH289" s="55"/>
      <c r="AI289" s="55"/>
    </row>
    <row r="290" ht="12.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E290" s="55"/>
      <c r="AF290" s="55"/>
      <c r="AG290" s="55"/>
      <c r="AH290" s="55"/>
      <c r="AI290" s="55"/>
    </row>
    <row r="291" ht="12.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E291" s="55"/>
      <c r="AF291" s="55"/>
      <c r="AG291" s="55"/>
      <c r="AH291" s="55"/>
      <c r="AI291" s="55"/>
    </row>
    <row r="292" ht="12.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E292" s="55"/>
      <c r="AF292" s="55"/>
      <c r="AG292" s="55"/>
      <c r="AH292" s="55"/>
      <c r="AI292" s="55"/>
    </row>
    <row r="293" ht="12.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E293" s="55"/>
      <c r="AF293" s="55"/>
      <c r="AG293" s="55"/>
      <c r="AH293" s="55"/>
      <c r="AI293" s="55"/>
    </row>
    <row r="294" ht="12.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E294" s="55"/>
      <c r="AF294" s="55"/>
      <c r="AG294" s="55"/>
      <c r="AH294" s="55"/>
      <c r="AI294" s="55"/>
    </row>
    <row r="295" ht="12.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row>
    <row r="296" ht="12.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E296" s="55"/>
      <c r="AF296" s="55"/>
      <c r="AG296" s="55"/>
      <c r="AH296" s="55"/>
      <c r="AI296" s="55"/>
    </row>
    <row r="297" ht="12.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c r="AF297" s="55"/>
      <c r="AG297" s="55"/>
      <c r="AH297" s="55"/>
      <c r="AI297" s="55"/>
    </row>
    <row r="298" ht="12.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E298" s="55"/>
      <c r="AF298" s="55"/>
      <c r="AG298" s="55"/>
      <c r="AH298" s="55"/>
      <c r="AI298" s="55"/>
    </row>
    <row r="299" ht="12.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E299" s="55"/>
      <c r="AF299" s="55"/>
      <c r="AG299" s="55"/>
      <c r="AH299" s="55"/>
      <c r="AI299" s="55"/>
    </row>
    <row r="300" ht="12.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E300" s="55"/>
      <c r="AF300" s="55"/>
      <c r="AG300" s="55"/>
      <c r="AH300" s="55"/>
      <c r="AI300" s="55"/>
    </row>
    <row r="301" ht="12.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E301" s="55"/>
      <c r="AF301" s="55"/>
      <c r="AG301" s="55"/>
      <c r="AH301" s="55"/>
      <c r="AI301" s="55"/>
    </row>
    <row r="302" ht="12.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E302" s="55"/>
      <c r="AF302" s="55"/>
      <c r="AG302" s="55"/>
      <c r="AH302" s="55"/>
      <c r="AI302" s="55"/>
    </row>
    <row r="303" ht="12.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c r="AF303" s="55"/>
      <c r="AG303" s="55"/>
      <c r="AH303" s="55"/>
      <c r="AI303" s="55"/>
    </row>
    <row r="304" ht="12.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E304" s="55"/>
      <c r="AF304" s="55"/>
      <c r="AG304" s="55"/>
      <c r="AH304" s="55"/>
      <c r="AI304" s="55"/>
    </row>
    <row r="305" ht="12.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E305" s="55"/>
      <c r="AF305" s="55"/>
      <c r="AG305" s="55"/>
      <c r="AH305" s="55"/>
      <c r="AI305" s="55"/>
    </row>
    <row r="306" ht="12.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E306" s="55"/>
      <c r="AF306" s="55"/>
      <c r="AG306" s="55"/>
      <c r="AH306" s="55"/>
      <c r="AI306" s="55"/>
    </row>
    <row r="307" ht="12.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E307" s="55"/>
      <c r="AF307" s="55"/>
      <c r="AG307" s="55"/>
      <c r="AH307" s="55"/>
      <c r="AI307" s="55"/>
    </row>
    <row r="308" ht="12.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E308" s="55"/>
      <c r="AF308" s="55"/>
      <c r="AG308" s="55"/>
      <c r="AH308" s="55"/>
      <c r="AI308" s="55"/>
    </row>
    <row r="309" ht="12.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c r="AF309" s="55"/>
      <c r="AG309" s="55"/>
      <c r="AH309" s="55"/>
      <c r="AI309" s="55"/>
    </row>
    <row r="310" ht="12.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c r="AD310" s="55"/>
      <c r="AE310" s="55"/>
      <c r="AF310" s="55"/>
      <c r="AG310" s="55"/>
      <c r="AH310" s="55"/>
      <c r="AI310" s="55"/>
    </row>
    <row r="311" ht="12.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c r="AD311" s="55"/>
      <c r="AE311" s="55"/>
      <c r="AF311" s="55"/>
      <c r="AG311" s="55"/>
      <c r="AH311" s="55"/>
      <c r="AI311" s="55"/>
    </row>
    <row r="312" ht="12.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c r="AD312" s="55"/>
      <c r="AE312" s="55"/>
      <c r="AF312" s="55"/>
      <c r="AG312" s="55"/>
      <c r="AH312" s="55"/>
      <c r="AI312" s="55"/>
    </row>
    <row r="313" ht="12.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c r="AD313" s="55"/>
      <c r="AE313" s="55"/>
      <c r="AF313" s="55"/>
      <c r="AG313" s="55"/>
      <c r="AH313" s="55"/>
      <c r="AI313" s="55"/>
    </row>
    <row r="314" ht="12.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c r="AD314" s="55"/>
      <c r="AE314" s="55"/>
      <c r="AF314" s="55"/>
      <c r="AG314" s="55"/>
      <c r="AH314" s="55"/>
      <c r="AI314" s="55"/>
    </row>
    <row r="315" ht="12.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c r="AF315" s="55"/>
      <c r="AG315" s="55"/>
      <c r="AH315" s="55"/>
      <c r="AI315" s="55"/>
    </row>
    <row r="316" ht="12.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c r="AD316" s="55"/>
      <c r="AE316" s="55"/>
      <c r="AF316" s="55"/>
      <c r="AG316" s="55"/>
      <c r="AH316" s="55"/>
      <c r="AI316" s="55"/>
    </row>
    <row r="317" ht="12.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c r="AD317" s="55"/>
      <c r="AE317" s="55"/>
      <c r="AF317" s="55"/>
      <c r="AG317" s="55"/>
      <c r="AH317" s="55"/>
      <c r="AI317" s="55"/>
    </row>
    <row r="318" ht="12.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c r="AD318" s="55"/>
      <c r="AE318" s="55"/>
      <c r="AF318" s="55"/>
      <c r="AG318" s="55"/>
      <c r="AH318" s="55"/>
      <c r="AI318" s="55"/>
    </row>
    <row r="319" ht="12.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c r="AD319" s="55"/>
      <c r="AE319" s="55"/>
      <c r="AF319" s="55"/>
      <c r="AG319" s="55"/>
      <c r="AH319" s="55"/>
      <c r="AI319" s="55"/>
    </row>
    <row r="320" ht="12.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c r="AD320" s="55"/>
      <c r="AE320" s="55"/>
      <c r="AF320" s="55"/>
      <c r="AG320" s="55"/>
      <c r="AH320" s="55"/>
      <c r="AI320" s="55"/>
    </row>
    <row r="321" ht="12.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c r="AD321" s="55"/>
      <c r="AE321" s="55"/>
      <c r="AF321" s="55"/>
      <c r="AG321" s="55"/>
      <c r="AH321" s="55"/>
      <c r="AI321" s="55"/>
    </row>
    <row r="322" ht="12.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c r="AD322" s="55"/>
      <c r="AE322" s="55"/>
      <c r="AF322" s="55"/>
      <c r="AG322" s="55"/>
      <c r="AH322" s="55"/>
      <c r="AI322" s="55"/>
    </row>
    <row r="323" ht="12.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c r="AD323" s="55"/>
      <c r="AE323" s="55"/>
      <c r="AF323" s="55"/>
      <c r="AG323" s="55"/>
      <c r="AH323" s="55"/>
      <c r="AI323" s="55"/>
    </row>
    <row r="324" ht="12.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c r="AD324" s="55"/>
      <c r="AE324" s="55"/>
      <c r="AF324" s="55"/>
      <c r="AG324" s="55"/>
      <c r="AH324" s="55"/>
      <c r="AI324" s="55"/>
    </row>
    <row r="325" ht="12.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c r="AD325" s="55"/>
      <c r="AE325" s="55"/>
      <c r="AF325" s="55"/>
      <c r="AG325" s="55"/>
      <c r="AH325" s="55"/>
      <c r="AI325" s="55"/>
    </row>
    <row r="326" ht="12.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c r="AD326" s="55"/>
      <c r="AE326" s="55"/>
      <c r="AF326" s="55"/>
      <c r="AG326" s="55"/>
      <c r="AH326" s="55"/>
      <c r="AI326" s="55"/>
    </row>
    <row r="327" ht="12.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c r="AD327" s="55"/>
      <c r="AE327" s="55"/>
      <c r="AF327" s="55"/>
      <c r="AG327" s="55"/>
      <c r="AH327" s="55"/>
      <c r="AI327" s="55"/>
    </row>
    <row r="328" ht="12.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c r="AD328" s="55"/>
      <c r="AE328" s="55"/>
      <c r="AF328" s="55"/>
      <c r="AG328" s="55"/>
      <c r="AH328" s="55"/>
      <c r="AI328" s="55"/>
    </row>
    <row r="329" ht="12.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c r="AD329" s="55"/>
      <c r="AE329" s="55"/>
      <c r="AF329" s="55"/>
      <c r="AG329" s="55"/>
      <c r="AH329" s="55"/>
      <c r="AI329" s="55"/>
    </row>
    <row r="330" ht="12.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c r="AD330" s="55"/>
      <c r="AE330" s="55"/>
      <c r="AF330" s="55"/>
      <c r="AG330" s="55"/>
      <c r="AH330" s="55"/>
      <c r="AI330" s="55"/>
    </row>
    <row r="331" ht="12.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row>
    <row r="332" ht="12.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c r="AD332" s="55"/>
      <c r="AE332" s="55"/>
      <c r="AF332" s="55"/>
      <c r="AG332" s="55"/>
      <c r="AH332" s="55"/>
      <c r="AI332" s="55"/>
    </row>
    <row r="333" ht="12.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55"/>
      <c r="AF333" s="55"/>
      <c r="AG333" s="55"/>
      <c r="AH333" s="55"/>
      <c r="AI333" s="55"/>
    </row>
    <row r="334" ht="12.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row>
    <row r="335" ht="12.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row>
    <row r="336" ht="12.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55"/>
      <c r="AF336" s="55"/>
      <c r="AG336" s="55"/>
      <c r="AH336" s="55"/>
      <c r="AI336" s="55"/>
    </row>
    <row r="337" ht="12.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c r="AF337" s="55"/>
      <c r="AG337" s="55"/>
      <c r="AH337" s="55"/>
      <c r="AI337" s="55"/>
    </row>
    <row r="338" ht="12.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55"/>
      <c r="AF338" s="55"/>
      <c r="AG338" s="55"/>
      <c r="AH338" s="55"/>
      <c r="AI338" s="55"/>
    </row>
    <row r="339" ht="12.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55"/>
      <c r="AF339" s="55"/>
      <c r="AG339" s="55"/>
      <c r="AH339" s="55"/>
      <c r="AI339" s="55"/>
    </row>
    <row r="340" ht="12.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55"/>
      <c r="AF340" s="55"/>
      <c r="AG340" s="55"/>
      <c r="AH340" s="55"/>
      <c r="AI340" s="55"/>
    </row>
    <row r="341" ht="12.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55"/>
      <c r="AF341" s="55"/>
      <c r="AG341" s="55"/>
      <c r="AH341" s="55"/>
      <c r="AI341" s="55"/>
    </row>
    <row r="342" ht="12.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55"/>
      <c r="AF342" s="55"/>
      <c r="AG342" s="55"/>
      <c r="AH342" s="55"/>
      <c r="AI342" s="55"/>
    </row>
    <row r="343" ht="12.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row>
    <row r="344" ht="12.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55"/>
      <c r="AF344" s="55"/>
      <c r="AG344" s="55"/>
      <c r="AH344" s="55"/>
      <c r="AI344" s="55"/>
    </row>
    <row r="345" ht="12.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55"/>
      <c r="AF345" s="55"/>
      <c r="AG345" s="55"/>
      <c r="AH345" s="55"/>
      <c r="AI345" s="55"/>
    </row>
    <row r="346" ht="12.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55"/>
      <c r="AF346" s="55"/>
      <c r="AG346" s="55"/>
      <c r="AH346" s="55"/>
      <c r="AI346" s="55"/>
    </row>
    <row r="347" ht="12.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55"/>
      <c r="AF347" s="55"/>
      <c r="AG347" s="55"/>
      <c r="AH347" s="55"/>
      <c r="AI347" s="55"/>
    </row>
    <row r="348" ht="12.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55"/>
      <c r="AF348" s="55"/>
      <c r="AG348" s="55"/>
      <c r="AH348" s="55"/>
      <c r="AI348" s="55"/>
    </row>
    <row r="349" ht="12.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55"/>
      <c r="AF349" s="55"/>
      <c r="AG349" s="55"/>
      <c r="AH349" s="55"/>
      <c r="AI349" s="55"/>
    </row>
    <row r="350" ht="12.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55"/>
      <c r="AF350" s="55"/>
      <c r="AG350" s="55"/>
      <c r="AH350" s="55"/>
      <c r="AI350" s="55"/>
    </row>
    <row r="351" ht="12.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55"/>
      <c r="AF351" s="55"/>
      <c r="AG351" s="55"/>
      <c r="AH351" s="55"/>
      <c r="AI351" s="55"/>
    </row>
    <row r="352" ht="12.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55"/>
      <c r="AF352" s="55"/>
      <c r="AG352" s="55"/>
      <c r="AH352" s="55"/>
      <c r="AI352" s="55"/>
    </row>
    <row r="353" ht="12.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c r="AF353" s="55"/>
      <c r="AG353" s="55"/>
      <c r="AH353" s="55"/>
      <c r="AI353" s="55"/>
    </row>
    <row r="354" ht="12.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55"/>
      <c r="AF354" s="55"/>
      <c r="AG354" s="55"/>
      <c r="AH354" s="55"/>
      <c r="AI354" s="55"/>
    </row>
    <row r="355" ht="12.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55"/>
      <c r="AF355" s="55"/>
      <c r="AG355" s="55"/>
      <c r="AH355" s="55"/>
      <c r="AI355" s="55"/>
    </row>
    <row r="356" ht="12.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55"/>
      <c r="AF356" s="55"/>
      <c r="AG356" s="55"/>
      <c r="AH356" s="55"/>
      <c r="AI356" s="55"/>
    </row>
    <row r="357" ht="12.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55"/>
      <c r="AF357" s="55"/>
      <c r="AG357" s="55"/>
      <c r="AH357" s="55"/>
      <c r="AI357" s="55"/>
    </row>
    <row r="358" ht="12.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55"/>
      <c r="AF358" s="55"/>
      <c r="AG358" s="55"/>
      <c r="AH358" s="55"/>
      <c r="AI358" s="55"/>
    </row>
    <row r="359" ht="12.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55"/>
      <c r="AF359" s="55"/>
      <c r="AG359" s="55"/>
      <c r="AH359" s="55"/>
      <c r="AI359" s="55"/>
    </row>
    <row r="360" ht="12.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55"/>
      <c r="AF360" s="55"/>
      <c r="AG360" s="55"/>
      <c r="AH360" s="55"/>
      <c r="AI360" s="55"/>
    </row>
    <row r="361" ht="12.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55"/>
      <c r="AF361" s="55"/>
      <c r="AG361" s="55"/>
      <c r="AH361" s="55"/>
      <c r="AI361" s="55"/>
    </row>
    <row r="362" ht="12.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55"/>
      <c r="AF362" s="55"/>
      <c r="AG362" s="55"/>
      <c r="AH362" s="55"/>
      <c r="AI362" s="55"/>
    </row>
    <row r="363" ht="12.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55"/>
      <c r="AF363" s="55"/>
      <c r="AG363" s="55"/>
      <c r="AH363" s="55"/>
      <c r="AI363" s="55"/>
    </row>
    <row r="364" ht="12.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55"/>
      <c r="AF364" s="55"/>
      <c r="AG364" s="55"/>
      <c r="AH364" s="55"/>
      <c r="AI364" s="55"/>
    </row>
    <row r="365" ht="12.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55"/>
      <c r="AF365" s="55"/>
      <c r="AG365" s="55"/>
      <c r="AH365" s="55"/>
      <c r="AI365" s="55"/>
    </row>
    <row r="366" ht="12.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55"/>
      <c r="AF366" s="55"/>
      <c r="AG366" s="55"/>
      <c r="AH366" s="55"/>
      <c r="AI366" s="55"/>
    </row>
    <row r="367" ht="12.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55"/>
      <c r="AF367" s="55"/>
      <c r="AG367" s="55"/>
      <c r="AH367" s="55"/>
      <c r="AI367" s="55"/>
    </row>
    <row r="368" ht="12.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55"/>
      <c r="AF368" s="55"/>
      <c r="AG368" s="55"/>
      <c r="AH368" s="55"/>
      <c r="AI368" s="55"/>
    </row>
    <row r="369" ht="12.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55"/>
      <c r="AF369" s="55"/>
      <c r="AG369" s="55"/>
      <c r="AH369" s="55"/>
      <c r="AI369" s="55"/>
    </row>
    <row r="370" ht="12.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55"/>
      <c r="AH370" s="55"/>
      <c r="AI370" s="55"/>
    </row>
    <row r="371" ht="12.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55"/>
      <c r="AH371" s="55"/>
      <c r="AI371" s="55"/>
    </row>
    <row r="372" ht="12.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55"/>
      <c r="AH372" s="55"/>
      <c r="AI372" s="55"/>
    </row>
    <row r="373" ht="12.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55"/>
      <c r="AF373" s="55"/>
      <c r="AG373" s="55"/>
      <c r="AH373" s="55"/>
      <c r="AI373" s="55"/>
    </row>
    <row r="374" ht="12.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row>
    <row r="375" ht="12.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row>
    <row r="376" ht="12.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row>
    <row r="377" ht="12.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55"/>
      <c r="AF377" s="55"/>
      <c r="AG377" s="55"/>
      <c r="AH377" s="55"/>
      <c r="AI377" s="55"/>
    </row>
    <row r="378" ht="12.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55"/>
      <c r="AF378" s="55"/>
      <c r="AG378" s="55"/>
      <c r="AH378" s="55"/>
      <c r="AI378" s="55"/>
    </row>
    <row r="379" ht="12.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55"/>
      <c r="AF379" s="55"/>
      <c r="AG379" s="55"/>
      <c r="AH379" s="55"/>
      <c r="AI379" s="55"/>
    </row>
    <row r="380" ht="12.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55"/>
      <c r="AH380" s="55"/>
      <c r="AI380" s="55"/>
    </row>
    <row r="381" ht="12.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55"/>
      <c r="AH381" s="55"/>
      <c r="AI381" s="55"/>
    </row>
    <row r="382" ht="12.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row>
    <row r="383" ht="12.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c r="AD383" s="55"/>
      <c r="AE383" s="55"/>
      <c r="AF383" s="55"/>
      <c r="AG383" s="55"/>
      <c r="AH383" s="55"/>
      <c r="AI383" s="55"/>
    </row>
    <row r="384" ht="12.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c r="AD384" s="55"/>
      <c r="AE384" s="55"/>
      <c r="AF384" s="55"/>
      <c r="AG384" s="55"/>
      <c r="AH384" s="55"/>
      <c r="AI384" s="55"/>
    </row>
    <row r="385" ht="12.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c r="AF385" s="55"/>
      <c r="AG385" s="55"/>
      <c r="AH385" s="55"/>
      <c r="AI385" s="55"/>
    </row>
    <row r="386" ht="12.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c r="AD386" s="55"/>
      <c r="AE386" s="55"/>
      <c r="AF386" s="55"/>
      <c r="AG386" s="55"/>
      <c r="AH386" s="55"/>
      <c r="AI386" s="55"/>
    </row>
    <row r="387" ht="12.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row>
    <row r="388" ht="12.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c r="AD388" s="55"/>
      <c r="AE388" s="55"/>
      <c r="AF388" s="55"/>
      <c r="AG388" s="55"/>
      <c r="AH388" s="55"/>
      <c r="AI388" s="55"/>
    </row>
    <row r="389" ht="12.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row>
    <row r="390" ht="12.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row>
    <row r="391" ht="12.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c r="AD391" s="55"/>
      <c r="AE391" s="55"/>
      <c r="AF391" s="55"/>
      <c r="AG391" s="55"/>
      <c r="AH391" s="55"/>
      <c r="AI391" s="55"/>
    </row>
    <row r="392" ht="12.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c r="AD392" s="55"/>
      <c r="AE392" s="55"/>
      <c r="AF392" s="55"/>
      <c r="AG392" s="55"/>
      <c r="AH392" s="55"/>
      <c r="AI392" s="55"/>
    </row>
    <row r="393" ht="12.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c r="AD393" s="55"/>
      <c r="AE393" s="55"/>
      <c r="AF393" s="55"/>
      <c r="AG393" s="55"/>
      <c r="AH393" s="55"/>
      <c r="AI393" s="55"/>
    </row>
    <row r="394" ht="12.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c r="AD394" s="55"/>
      <c r="AE394" s="55"/>
      <c r="AF394" s="55"/>
      <c r="AG394" s="55"/>
      <c r="AH394" s="55"/>
      <c r="AI394" s="55"/>
    </row>
    <row r="395" ht="12.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c r="AD395" s="55"/>
      <c r="AE395" s="55"/>
      <c r="AF395" s="55"/>
      <c r="AG395" s="55"/>
      <c r="AH395" s="55"/>
      <c r="AI395" s="55"/>
    </row>
    <row r="396" ht="12.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c r="AD396" s="55"/>
      <c r="AE396" s="55"/>
      <c r="AF396" s="55"/>
      <c r="AG396" s="55"/>
      <c r="AH396" s="55"/>
      <c r="AI396" s="55"/>
    </row>
    <row r="397" ht="12.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c r="AE397" s="55"/>
      <c r="AF397" s="55"/>
      <c r="AG397" s="55"/>
      <c r="AH397" s="55"/>
      <c r="AI397" s="55"/>
    </row>
    <row r="398" ht="12.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c r="AD398" s="55"/>
      <c r="AE398" s="55"/>
      <c r="AF398" s="55"/>
      <c r="AG398" s="55"/>
      <c r="AH398" s="55"/>
      <c r="AI398" s="55"/>
    </row>
    <row r="399" ht="12.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c r="AF399" s="55"/>
      <c r="AG399" s="55"/>
      <c r="AH399" s="55"/>
      <c r="AI399" s="55"/>
    </row>
    <row r="400" ht="12.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c r="AD400" s="55"/>
      <c r="AE400" s="55"/>
      <c r="AF400" s="55"/>
      <c r="AG400" s="55"/>
      <c r="AH400" s="55"/>
      <c r="AI400" s="55"/>
    </row>
    <row r="401" ht="12.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c r="AD401" s="55"/>
      <c r="AE401" s="55"/>
      <c r="AF401" s="55"/>
      <c r="AG401" s="55"/>
      <c r="AH401" s="55"/>
      <c r="AI401" s="55"/>
    </row>
    <row r="402" ht="12.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c r="AD402" s="55"/>
      <c r="AE402" s="55"/>
      <c r="AF402" s="55"/>
      <c r="AG402" s="55"/>
      <c r="AH402" s="55"/>
      <c r="AI402" s="55"/>
    </row>
    <row r="403" ht="12.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c r="AD403" s="55"/>
      <c r="AE403" s="55"/>
      <c r="AF403" s="55"/>
      <c r="AG403" s="55"/>
      <c r="AH403" s="55"/>
      <c r="AI403" s="55"/>
    </row>
    <row r="404" ht="12.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55"/>
      <c r="AF404" s="55"/>
      <c r="AG404" s="55"/>
      <c r="AH404" s="55"/>
      <c r="AI404" s="55"/>
    </row>
    <row r="405" ht="12.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55"/>
      <c r="AF405" s="55"/>
      <c r="AG405" s="55"/>
      <c r="AH405" s="55"/>
      <c r="AI405" s="55"/>
    </row>
    <row r="406" ht="12.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55"/>
      <c r="AF406" s="55"/>
      <c r="AG406" s="55"/>
      <c r="AH406" s="55"/>
      <c r="AI406" s="55"/>
    </row>
    <row r="407" ht="12.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55"/>
      <c r="AF407" s="55"/>
      <c r="AG407" s="55"/>
      <c r="AH407" s="55"/>
      <c r="AI407" s="55"/>
    </row>
    <row r="408" ht="12.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55"/>
      <c r="AF408" s="55"/>
      <c r="AG408" s="55"/>
      <c r="AH408" s="55"/>
      <c r="AI408" s="55"/>
    </row>
    <row r="409" ht="12.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55"/>
      <c r="AF409" s="55"/>
      <c r="AG409" s="55"/>
      <c r="AH409" s="55"/>
      <c r="AI409" s="55"/>
    </row>
    <row r="410" ht="12.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55"/>
      <c r="AF410" s="55"/>
      <c r="AG410" s="55"/>
      <c r="AH410" s="55"/>
      <c r="AI410" s="55"/>
    </row>
    <row r="411" ht="12.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55"/>
      <c r="AF411" s="55"/>
      <c r="AG411" s="55"/>
      <c r="AH411" s="55"/>
      <c r="AI411" s="55"/>
    </row>
    <row r="412" ht="12.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55"/>
      <c r="AF412" s="55"/>
      <c r="AG412" s="55"/>
      <c r="AH412" s="55"/>
      <c r="AI412" s="55"/>
    </row>
    <row r="413" ht="12.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55"/>
      <c r="AF413" s="55"/>
      <c r="AG413" s="55"/>
      <c r="AH413" s="55"/>
      <c r="AI413" s="55"/>
    </row>
    <row r="414" ht="12.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55"/>
      <c r="AF414" s="55"/>
      <c r="AG414" s="55"/>
      <c r="AH414" s="55"/>
      <c r="AI414" s="55"/>
    </row>
    <row r="415" ht="12.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55"/>
      <c r="AF415" s="55"/>
      <c r="AG415" s="55"/>
      <c r="AH415" s="55"/>
      <c r="AI415" s="55"/>
    </row>
    <row r="416" ht="12.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55"/>
      <c r="AF416" s="55"/>
      <c r="AG416" s="55"/>
      <c r="AH416" s="55"/>
      <c r="AI416" s="55"/>
    </row>
    <row r="417" ht="12.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55"/>
      <c r="AF417" s="55"/>
      <c r="AG417" s="55"/>
      <c r="AH417" s="55"/>
      <c r="AI417" s="55"/>
    </row>
    <row r="418" ht="12.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55"/>
      <c r="AF418" s="55"/>
      <c r="AG418" s="55"/>
      <c r="AH418" s="55"/>
      <c r="AI418" s="55"/>
    </row>
    <row r="419" ht="12.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55"/>
      <c r="AF419" s="55"/>
      <c r="AG419" s="55"/>
      <c r="AH419" s="55"/>
      <c r="AI419" s="55"/>
    </row>
    <row r="420" ht="12.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55"/>
      <c r="AF420" s="55"/>
      <c r="AG420" s="55"/>
      <c r="AH420" s="55"/>
      <c r="AI420" s="55"/>
    </row>
    <row r="421" ht="12.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c r="AF421" s="55"/>
      <c r="AG421" s="55"/>
      <c r="AH421" s="55"/>
      <c r="AI421" s="55"/>
    </row>
    <row r="422" ht="12.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55"/>
      <c r="AF422" s="55"/>
      <c r="AG422" s="55"/>
      <c r="AH422" s="55"/>
      <c r="AI422" s="55"/>
    </row>
    <row r="423" ht="12.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55"/>
      <c r="AF423" s="55"/>
      <c r="AG423" s="55"/>
      <c r="AH423" s="55"/>
      <c r="AI423" s="55"/>
    </row>
    <row r="424" ht="12.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55"/>
      <c r="AF424" s="55"/>
      <c r="AG424" s="55"/>
      <c r="AH424" s="55"/>
      <c r="AI424" s="55"/>
    </row>
    <row r="425" ht="12.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55"/>
      <c r="AF425" s="55"/>
      <c r="AG425" s="55"/>
      <c r="AH425" s="55"/>
      <c r="AI425" s="55"/>
    </row>
    <row r="426" ht="12.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55"/>
      <c r="AF426" s="55"/>
      <c r="AG426" s="55"/>
      <c r="AH426" s="55"/>
      <c r="AI426" s="55"/>
    </row>
    <row r="427" ht="12.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c r="AF427" s="55"/>
      <c r="AG427" s="55"/>
      <c r="AH427" s="55"/>
      <c r="AI427" s="55"/>
    </row>
    <row r="428" ht="12.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row>
    <row r="429" ht="12.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row>
    <row r="430" ht="12.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row>
    <row r="431" ht="12.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55"/>
      <c r="AF431" s="55"/>
      <c r="AG431" s="55"/>
      <c r="AH431" s="55"/>
      <c r="AI431" s="55"/>
    </row>
    <row r="432" ht="12.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55"/>
      <c r="AF432" s="55"/>
      <c r="AG432" s="55"/>
      <c r="AH432" s="55"/>
      <c r="AI432" s="55"/>
    </row>
    <row r="433" ht="12.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55"/>
      <c r="AF433" s="55"/>
      <c r="AG433" s="55"/>
      <c r="AH433" s="55"/>
      <c r="AI433" s="55"/>
    </row>
    <row r="434" ht="12.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55"/>
      <c r="AF434" s="55"/>
      <c r="AG434" s="55"/>
      <c r="AH434" s="55"/>
      <c r="AI434" s="55"/>
    </row>
    <row r="435" ht="12.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55"/>
      <c r="AF435" s="55"/>
      <c r="AG435" s="55"/>
      <c r="AH435" s="55"/>
      <c r="AI435" s="55"/>
    </row>
    <row r="436" ht="12.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55"/>
      <c r="AF436" s="55"/>
      <c r="AG436" s="55"/>
      <c r="AH436" s="55"/>
      <c r="AI436" s="55"/>
    </row>
    <row r="437" ht="12.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c r="AF437" s="55"/>
      <c r="AG437" s="55"/>
      <c r="AH437" s="55"/>
      <c r="AI437" s="55"/>
    </row>
    <row r="438" ht="12.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55"/>
      <c r="AF438" s="55"/>
      <c r="AG438" s="55"/>
      <c r="AH438" s="55"/>
      <c r="AI438" s="55"/>
    </row>
    <row r="439" ht="12.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55"/>
      <c r="AF439" s="55"/>
      <c r="AG439" s="55"/>
      <c r="AH439" s="55"/>
      <c r="AI439" s="55"/>
    </row>
    <row r="440" ht="12.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55"/>
      <c r="AF440" s="55"/>
      <c r="AG440" s="55"/>
      <c r="AH440" s="55"/>
      <c r="AI440" s="55"/>
    </row>
    <row r="441" ht="12.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55"/>
      <c r="AF441" s="55"/>
      <c r="AG441" s="55"/>
      <c r="AH441" s="55"/>
      <c r="AI441" s="55"/>
    </row>
    <row r="442" ht="12.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55"/>
      <c r="AF442" s="55"/>
      <c r="AG442" s="55"/>
      <c r="AH442" s="55"/>
      <c r="AI442" s="55"/>
    </row>
    <row r="443" ht="12.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c r="AF443" s="55"/>
      <c r="AG443" s="55"/>
      <c r="AH443" s="55"/>
      <c r="AI443" s="55"/>
    </row>
    <row r="444" ht="12.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55"/>
      <c r="AF444" s="55"/>
      <c r="AG444" s="55"/>
      <c r="AH444" s="55"/>
      <c r="AI444" s="55"/>
    </row>
    <row r="445" ht="12.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55"/>
      <c r="AF445" s="55"/>
      <c r="AG445" s="55"/>
      <c r="AH445" s="55"/>
      <c r="AI445" s="55"/>
    </row>
    <row r="446" ht="12.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row>
    <row r="447" ht="12.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row>
    <row r="448" ht="12.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row>
    <row r="449" ht="12.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c r="AF449" s="55"/>
      <c r="AG449" s="55"/>
      <c r="AH449" s="55"/>
      <c r="AI449" s="55"/>
    </row>
    <row r="450" ht="12.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55"/>
      <c r="AF450" s="55"/>
      <c r="AG450" s="55"/>
      <c r="AH450" s="55"/>
      <c r="AI450" s="55"/>
    </row>
    <row r="451" ht="12.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row>
    <row r="452" ht="12.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55"/>
      <c r="AF452" s="55"/>
      <c r="AG452" s="55"/>
      <c r="AH452" s="55"/>
      <c r="AI452" s="55"/>
    </row>
    <row r="453" ht="12.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55"/>
      <c r="AF453" s="55"/>
      <c r="AG453" s="55"/>
      <c r="AH453" s="55"/>
      <c r="AI453" s="55"/>
    </row>
    <row r="454" ht="12.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55"/>
      <c r="AF454" s="55"/>
      <c r="AG454" s="55"/>
      <c r="AH454" s="55"/>
      <c r="AI454" s="55"/>
    </row>
    <row r="455" ht="12.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c r="AF455" s="55"/>
      <c r="AG455" s="55"/>
      <c r="AH455" s="55"/>
      <c r="AI455" s="55"/>
    </row>
    <row r="456" ht="12.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55"/>
      <c r="AF456" s="55"/>
      <c r="AG456" s="55"/>
      <c r="AH456" s="55"/>
      <c r="AI456" s="55"/>
    </row>
    <row r="457" ht="12.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row>
    <row r="458" ht="12.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55"/>
      <c r="AF458" s="55"/>
      <c r="AG458" s="55"/>
      <c r="AH458" s="55"/>
      <c r="AI458" s="55"/>
    </row>
    <row r="459" ht="12.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55"/>
      <c r="AF459" s="55"/>
      <c r="AG459" s="55"/>
      <c r="AH459" s="55"/>
      <c r="AI459" s="55"/>
    </row>
    <row r="460" ht="12.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55"/>
      <c r="AF460" s="55"/>
      <c r="AG460" s="55"/>
      <c r="AH460" s="55"/>
      <c r="AI460" s="55"/>
    </row>
    <row r="461" ht="12.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row>
    <row r="462" ht="12.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55"/>
      <c r="AF462" s="55"/>
      <c r="AG462" s="55"/>
      <c r="AH462" s="55"/>
      <c r="AI462" s="55"/>
    </row>
    <row r="463" ht="12.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55"/>
      <c r="AF463" s="55"/>
      <c r="AG463" s="55"/>
      <c r="AH463" s="55"/>
      <c r="AI463" s="55"/>
    </row>
    <row r="464" ht="12.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row>
    <row r="465" ht="12.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55"/>
      <c r="AF465" s="55"/>
      <c r="AG465" s="55"/>
      <c r="AH465" s="55"/>
      <c r="AI465" s="55"/>
    </row>
    <row r="466" ht="12.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E466" s="55"/>
      <c r="AF466" s="55"/>
      <c r="AG466" s="55"/>
      <c r="AH466" s="55"/>
      <c r="AI466" s="55"/>
    </row>
    <row r="467" ht="12.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c r="AF467" s="55"/>
      <c r="AG467" s="55"/>
      <c r="AH467" s="55"/>
      <c r="AI467" s="55"/>
    </row>
    <row r="468" ht="12.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E468" s="55"/>
      <c r="AF468" s="55"/>
      <c r="AG468" s="55"/>
      <c r="AH468" s="55"/>
      <c r="AI468" s="55"/>
    </row>
    <row r="469" ht="12.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E469" s="55"/>
      <c r="AF469" s="55"/>
      <c r="AG469" s="55"/>
      <c r="AH469" s="55"/>
      <c r="AI469" s="55"/>
    </row>
    <row r="470" ht="12.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row>
    <row r="471" ht="12.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row>
    <row r="472" ht="12.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c r="AD472" s="55"/>
      <c r="AE472" s="55"/>
      <c r="AF472" s="55"/>
      <c r="AG472" s="55"/>
      <c r="AH472" s="55"/>
      <c r="AI472" s="55"/>
    </row>
    <row r="473" ht="12.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row>
    <row r="474" ht="12.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row>
    <row r="475" ht="12.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row>
    <row r="476" ht="12.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row>
    <row r="477" ht="12.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row>
    <row r="478" ht="12.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row>
    <row r="479" ht="12.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c r="AD479" s="55"/>
      <c r="AE479" s="55"/>
      <c r="AF479" s="55"/>
      <c r="AG479" s="55"/>
      <c r="AH479" s="55"/>
      <c r="AI479" s="55"/>
    </row>
    <row r="480" ht="12.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c r="AD480" s="55"/>
      <c r="AE480" s="55"/>
      <c r="AF480" s="55"/>
      <c r="AG480" s="55"/>
      <c r="AH480" s="55"/>
      <c r="AI480" s="55"/>
    </row>
    <row r="481" ht="12.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c r="AD481" s="55"/>
      <c r="AE481" s="55"/>
      <c r="AF481" s="55"/>
      <c r="AG481" s="55"/>
      <c r="AH481" s="55"/>
      <c r="AI481" s="55"/>
    </row>
    <row r="482" ht="12.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row>
    <row r="483" ht="12.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row>
    <row r="484" ht="12.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c r="AD484" s="55"/>
      <c r="AE484" s="55"/>
      <c r="AF484" s="55"/>
      <c r="AG484" s="55"/>
      <c r="AH484" s="55"/>
      <c r="AI484" s="55"/>
    </row>
    <row r="485" ht="12.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c r="AD485" s="55"/>
      <c r="AE485" s="55"/>
      <c r="AF485" s="55"/>
      <c r="AG485" s="55"/>
      <c r="AH485" s="55"/>
      <c r="AI485" s="55"/>
    </row>
    <row r="486" ht="12.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c r="AD486" s="55"/>
      <c r="AE486" s="55"/>
      <c r="AF486" s="55"/>
      <c r="AG486" s="55"/>
      <c r="AH486" s="55"/>
      <c r="AI486" s="55"/>
    </row>
    <row r="487" ht="12.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c r="AD487" s="55"/>
      <c r="AE487" s="55"/>
      <c r="AF487" s="55"/>
      <c r="AG487" s="55"/>
      <c r="AH487" s="55"/>
      <c r="AI487" s="55"/>
    </row>
    <row r="488" ht="12.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c r="AD488" s="55"/>
      <c r="AE488" s="55"/>
      <c r="AF488" s="55"/>
      <c r="AG488" s="55"/>
      <c r="AH488" s="55"/>
      <c r="AI488" s="55"/>
    </row>
    <row r="489" ht="12.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row>
    <row r="490" ht="12.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c r="AD490" s="55"/>
      <c r="AE490" s="55"/>
      <c r="AF490" s="55"/>
      <c r="AG490" s="55"/>
      <c r="AH490" s="55"/>
      <c r="AI490" s="55"/>
    </row>
    <row r="491" ht="12.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c r="AD491" s="55"/>
      <c r="AE491" s="55"/>
      <c r="AF491" s="55"/>
      <c r="AG491" s="55"/>
      <c r="AH491" s="55"/>
      <c r="AI491" s="55"/>
    </row>
    <row r="492" ht="12.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c r="AD492" s="55"/>
      <c r="AE492" s="55"/>
      <c r="AF492" s="55"/>
      <c r="AG492" s="55"/>
      <c r="AH492" s="55"/>
      <c r="AI492" s="55"/>
    </row>
    <row r="493" ht="12.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c r="AD493" s="55"/>
      <c r="AE493" s="55"/>
      <c r="AF493" s="55"/>
      <c r="AG493" s="55"/>
      <c r="AH493" s="55"/>
      <c r="AI493" s="55"/>
    </row>
    <row r="494" ht="12.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row>
    <row r="495" ht="12.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c r="AD495" s="55"/>
      <c r="AE495" s="55"/>
      <c r="AF495" s="55"/>
      <c r="AG495" s="55"/>
      <c r="AH495" s="55"/>
      <c r="AI495" s="55"/>
    </row>
    <row r="496" ht="12.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c r="AD496" s="55"/>
      <c r="AE496" s="55"/>
      <c r="AF496" s="55"/>
      <c r="AG496" s="55"/>
      <c r="AH496" s="55"/>
      <c r="AI496" s="55"/>
    </row>
    <row r="497" ht="12.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c r="AD497" s="55"/>
      <c r="AE497" s="55"/>
      <c r="AF497" s="55"/>
      <c r="AG497" s="55"/>
      <c r="AH497" s="55"/>
      <c r="AI497" s="55"/>
    </row>
    <row r="498" ht="12.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c r="AD498" s="55"/>
      <c r="AE498" s="55"/>
      <c r="AF498" s="55"/>
      <c r="AG498" s="55"/>
      <c r="AH498" s="55"/>
      <c r="AI498" s="55"/>
    </row>
    <row r="499" ht="12.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c r="AD499" s="55"/>
      <c r="AE499" s="55"/>
      <c r="AF499" s="55"/>
      <c r="AG499" s="55"/>
      <c r="AH499" s="55"/>
      <c r="AI499" s="55"/>
    </row>
    <row r="500" ht="12.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c r="AD500" s="55"/>
      <c r="AE500" s="55"/>
      <c r="AF500" s="55"/>
      <c r="AG500" s="55"/>
      <c r="AH500" s="55"/>
      <c r="AI500" s="55"/>
    </row>
    <row r="501" ht="12.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c r="AD501" s="55"/>
      <c r="AE501" s="55"/>
      <c r="AF501" s="55"/>
      <c r="AG501" s="55"/>
      <c r="AH501" s="55"/>
      <c r="AI501" s="55"/>
    </row>
    <row r="502" ht="12.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c r="AD502" s="55"/>
      <c r="AE502" s="55"/>
      <c r="AF502" s="55"/>
      <c r="AG502" s="55"/>
      <c r="AH502" s="55"/>
      <c r="AI502" s="55"/>
    </row>
    <row r="503" ht="12.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c r="AD503" s="55"/>
      <c r="AE503" s="55"/>
      <c r="AF503" s="55"/>
      <c r="AG503" s="55"/>
      <c r="AH503" s="55"/>
      <c r="AI503" s="55"/>
    </row>
    <row r="504" ht="12.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c r="AD504" s="55"/>
      <c r="AE504" s="55"/>
      <c r="AF504" s="55"/>
      <c r="AG504" s="55"/>
      <c r="AH504" s="55"/>
      <c r="AI504" s="55"/>
    </row>
    <row r="505" ht="12.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c r="AD505" s="55"/>
      <c r="AE505" s="55"/>
      <c r="AF505" s="55"/>
      <c r="AG505" s="55"/>
      <c r="AH505" s="55"/>
      <c r="AI505" s="55"/>
    </row>
    <row r="506" ht="12.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c r="AD506" s="55"/>
      <c r="AE506" s="55"/>
      <c r="AF506" s="55"/>
      <c r="AG506" s="55"/>
      <c r="AH506" s="55"/>
      <c r="AI506" s="55"/>
    </row>
    <row r="507" ht="12.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c r="AD507" s="55"/>
      <c r="AE507" s="55"/>
      <c r="AF507" s="55"/>
      <c r="AG507" s="55"/>
      <c r="AH507" s="55"/>
      <c r="AI507" s="55"/>
    </row>
    <row r="508" ht="12.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c r="AD508" s="55"/>
      <c r="AE508" s="55"/>
      <c r="AF508" s="55"/>
      <c r="AG508" s="55"/>
      <c r="AH508" s="55"/>
      <c r="AI508" s="55"/>
    </row>
    <row r="509" ht="12.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c r="AD509" s="55"/>
      <c r="AE509" s="55"/>
      <c r="AF509" s="55"/>
      <c r="AG509" s="55"/>
      <c r="AH509" s="55"/>
      <c r="AI509" s="55"/>
    </row>
    <row r="510" ht="12.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c r="AD510" s="55"/>
      <c r="AE510" s="55"/>
      <c r="AF510" s="55"/>
      <c r="AG510" s="55"/>
      <c r="AH510" s="55"/>
      <c r="AI510" s="55"/>
    </row>
    <row r="511" ht="12.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c r="AD511" s="55"/>
      <c r="AE511" s="55"/>
      <c r="AF511" s="55"/>
      <c r="AG511" s="55"/>
      <c r="AH511" s="55"/>
      <c r="AI511" s="55"/>
    </row>
    <row r="512" ht="12.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c r="AD512" s="55"/>
      <c r="AE512" s="55"/>
      <c r="AF512" s="55"/>
      <c r="AG512" s="55"/>
      <c r="AH512" s="55"/>
      <c r="AI512" s="55"/>
    </row>
    <row r="513" ht="12.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c r="AD513" s="55"/>
      <c r="AE513" s="55"/>
      <c r="AF513" s="55"/>
      <c r="AG513" s="55"/>
      <c r="AH513" s="55"/>
      <c r="AI513" s="55"/>
    </row>
    <row r="514" ht="12.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c r="AD514" s="55"/>
      <c r="AE514" s="55"/>
      <c r="AF514" s="55"/>
      <c r="AG514" s="55"/>
      <c r="AH514" s="55"/>
      <c r="AI514" s="55"/>
    </row>
    <row r="515" ht="12.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c r="AD515" s="55"/>
      <c r="AE515" s="55"/>
      <c r="AF515" s="55"/>
      <c r="AG515" s="55"/>
      <c r="AH515" s="55"/>
      <c r="AI515" s="55"/>
    </row>
    <row r="516" ht="12.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c r="AD516" s="55"/>
      <c r="AE516" s="55"/>
      <c r="AF516" s="55"/>
      <c r="AG516" s="55"/>
      <c r="AH516" s="55"/>
      <c r="AI516" s="55"/>
    </row>
    <row r="517" ht="12.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c r="AD517" s="55"/>
      <c r="AE517" s="55"/>
      <c r="AF517" s="55"/>
      <c r="AG517" s="55"/>
      <c r="AH517" s="55"/>
      <c r="AI517" s="55"/>
    </row>
    <row r="518" ht="12.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c r="AD518" s="55"/>
      <c r="AE518" s="55"/>
      <c r="AF518" s="55"/>
      <c r="AG518" s="55"/>
      <c r="AH518" s="55"/>
      <c r="AI518" s="55"/>
    </row>
    <row r="519" ht="12.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c r="AD519" s="55"/>
      <c r="AE519" s="55"/>
      <c r="AF519" s="55"/>
      <c r="AG519" s="55"/>
      <c r="AH519" s="55"/>
      <c r="AI519" s="55"/>
    </row>
    <row r="520" ht="12.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c r="AD520" s="55"/>
      <c r="AE520" s="55"/>
      <c r="AF520" s="55"/>
      <c r="AG520" s="55"/>
      <c r="AH520" s="55"/>
      <c r="AI520" s="55"/>
    </row>
    <row r="521" ht="12.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c r="AD521" s="55"/>
      <c r="AE521" s="55"/>
      <c r="AF521" s="55"/>
      <c r="AG521" s="55"/>
      <c r="AH521" s="55"/>
      <c r="AI521" s="55"/>
    </row>
    <row r="522" ht="12.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55"/>
      <c r="AF522" s="55"/>
      <c r="AG522" s="55"/>
      <c r="AH522" s="55"/>
      <c r="AI522" s="55"/>
    </row>
    <row r="523" ht="12.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55"/>
      <c r="AF523" s="55"/>
      <c r="AG523" s="55"/>
      <c r="AH523" s="55"/>
      <c r="AI523" s="55"/>
    </row>
    <row r="524" ht="12.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55"/>
      <c r="AF524" s="55"/>
      <c r="AG524" s="55"/>
      <c r="AH524" s="55"/>
      <c r="AI524" s="55"/>
    </row>
    <row r="525" ht="12.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55"/>
      <c r="AF525" s="55"/>
      <c r="AG525" s="55"/>
      <c r="AH525" s="55"/>
      <c r="AI525" s="55"/>
    </row>
    <row r="526" ht="12.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55"/>
      <c r="AF526" s="55"/>
      <c r="AG526" s="55"/>
      <c r="AH526" s="55"/>
      <c r="AI526" s="55"/>
    </row>
    <row r="527" ht="12.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55"/>
      <c r="AF527" s="55"/>
      <c r="AG527" s="55"/>
      <c r="AH527" s="55"/>
      <c r="AI527" s="55"/>
    </row>
    <row r="528" ht="12.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55"/>
      <c r="AF528" s="55"/>
      <c r="AG528" s="55"/>
      <c r="AH528" s="55"/>
      <c r="AI528" s="55"/>
    </row>
    <row r="529" ht="12.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55"/>
      <c r="AF529" s="55"/>
      <c r="AG529" s="55"/>
      <c r="AH529" s="55"/>
      <c r="AI529" s="55"/>
    </row>
    <row r="530" ht="12.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55"/>
      <c r="AF530" s="55"/>
      <c r="AG530" s="55"/>
      <c r="AH530" s="55"/>
      <c r="AI530" s="55"/>
    </row>
    <row r="531" ht="12.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55"/>
      <c r="AF531" s="55"/>
      <c r="AG531" s="55"/>
      <c r="AH531" s="55"/>
      <c r="AI531" s="55"/>
    </row>
    <row r="532" ht="12.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55"/>
      <c r="AF532" s="55"/>
      <c r="AG532" s="55"/>
      <c r="AH532" s="55"/>
      <c r="AI532" s="55"/>
    </row>
    <row r="533" ht="12.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row>
    <row r="534" ht="12.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55"/>
      <c r="AF534" s="55"/>
      <c r="AG534" s="55"/>
      <c r="AH534" s="55"/>
      <c r="AI534" s="55"/>
    </row>
    <row r="535" ht="12.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55"/>
      <c r="AF535" s="55"/>
      <c r="AG535" s="55"/>
      <c r="AH535" s="55"/>
      <c r="AI535" s="55"/>
    </row>
    <row r="536" ht="12.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55"/>
      <c r="AF536" s="55"/>
      <c r="AG536" s="55"/>
      <c r="AH536" s="55"/>
      <c r="AI536" s="55"/>
    </row>
    <row r="537" ht="12.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55"/>
      <c r="AF537" s="55"/>
      <c r="AG537" s="55"/>
      <c r="AH537" s="55"/>
      <c r="AI537" s="55"/>
    </row>
    <row r="538" ht="12.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55"/>
      <c r="AF538" s="55"/>
      <c r="AG538" s="55"/>
      <c r="AH538" s="55"/>
      <c r="AI538" s="55"/>
    </row>
    <row r="539" ht="12.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55"/>
      <c r="AF539" s="55"/>
      <c r="AG539" s="55"/>
      <c r="AH539" s="55"/>
      <c r="AI539" s="55"/>
    </row>
    <row r="540" ht="12.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55"/>
      <c r="AF540" s="55"/>
      <c r="AG540" s="55"/>
      <c r="AH540" s="55"/>
      <c r="AI540" s="55"/>
    </row>
    <row r="541" ht="12.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55"/>
      <c r="AF541" s="55"/>
      <c r="AG541" s="55"/>
      <c r="AH541" s="55"/>
      <c r="AI541" s="55"/>
    </row>
    <row r="542" ht="12.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55"/>
      <c r="AF542" s="55"/>
      <c r="AG542" s="55"/>
      <c r="AH542" s="55"/>
      <c r="AI542" s="55"/>
    </row>
    <row r="543" ht="12.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55"/>
      <c r="AF543" s="55"/>
      <c r="AG543" s="55"/>
      <c r="AH543" s="55"/>
      <c r="AI543" s="55"/>
    </row>
    <row r="544" ht="12.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55"/>
      <c r="AF544" s="55"/>
      <c r="AG544" s="55"/>
      <c r="AH544" s="55"/>
      <c r="AI544" s="55"/>
    </row>
    <row r="545" ht="12.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55"/>
      <c r="AF545" s="55"/>
      <c r="AG545" s="55"/>
      <c r="AH545" s="55"/>
      <c r="AI545" s="55"/>
    </row>
    <row r="546" ht="12.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55"/>
      <c r="AF546" s="55"/>
      <c r="AG546" s="55"/>
      <c r="AH546" s="55"/>
      <c r="AI546" s="55"/>
    </row>
    <row r="547" ht="12.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row>
    <row r="548" ht="12.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row>
    <row r="549" ht="12.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55"/>
      <c r="AF549" s="55"/>
      <c r="AG549" s="55"/>
      <c r="AH549" s="55"/>
      <c r="AI549" s="55"/>
    </row>
    <row r="550" ht="12.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55"/>
      <c r="AF550" s="55"/>
      <c r="AG550" s="55"/>
      <c r="AH550" s="55"/>
      <c r="AI550" s="55"/>
    </row>
    <row r="551" ht="12.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55"/>
      <c r="AF551" s="55"/>
      <c r="AG551" s="55"/>
      <c r="AH551" s="55"/>
      <c r="AI551" s="55"/>
    </row>
    <row r="552" ht="12.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55"/>
      <c r="AF552" s="55"/>
      <c r="AG552" s="55"/>
      <c r="AH552" s="55"/>
      <c r="AI552" s="55"/>
    </row>
    <row r="553" ht="12.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55"/>
      <c r="AF553" s="55"/>
      <c r="AG553" s="55"/>
      <c r="AH553" s="55"/>
      <c r="AI553" s="55"/>
    </row>
    <row r="554" ht="12.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55"/>
      <c r="AF554" s="55"/>
      <c r="AG554" s="55"/>
      <c r="AH554" s="55"/>
      <c r="AI554" s="55"/>
    </row>
    <row r="555" ht="12.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55"/>
      <c r="AF555" s="55"/>
      <c r="AG555" s="55"/>
      <c r="AH555" s="55"/>
      <c r="AI555" s="55"/>
    </row>
    <row r="556" ht="12.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55"/>
      <c r="AF556" s="55"/>
      <c r="AG556" s="55"/>
      <c r="AH556" s="55"/>
      <c r="AI556" s="55"/>
    </row>
    <row r="557" ht="12.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55"/>
      <c r="AF557" s="55"/>
      <c r="AG557" s="55"/>
      <c r="AH557" s="55"/>
      <c r="AI557" s="55"/>
    </row>
    <row r="558" ht="12.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55"/>
      <c r="AF558" s="55"/>
      <c r="AG558" s="55"/>
      <c r="AH558" s="55"/>
      <c r="AI558" s="55"/>
    </row>
    <row r="559" ht="12.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55"/>
      <c r="AF559" s="55"/>
      <c r="AG559" s="55"/>
      <c r="AH559" s="55"/>
      <c r="AI559" s="55"/>
    </row>
    <row r="560" ht="12.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55"/>
      <c r="AF560" s="55"/>
      <c r="AG560" s="55"/>
      <c r="AH560" s="55"/>
      <c r="AI560" s="55"/>
    </row>
    <row r="561" ht="12.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55"/>
      <c r="AF561" s="55"/>
      <c r="AG561" s="55"/>
      <c r="AH561" s="55"/>
      <c r="AI561" s="55"/>
    </row>
    <row r="562" ht="12.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55"/>
      <c r="AF562" s="55"/>
      <c r="AG562" s="55"/>
      <c r="AH562" s="55"/>
      <c r="AI562" s="55"/>
    </row>
    <row r="563" ht="12.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55"/>
      <c r="AF563" s="55"/>
      <c r="AG563" s="55"/>
      <c r="AH563" s="55"/>
      <c r="AI563" s="55"/>
    </row>
    <row r="564" ht="12.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55"/>
      <c r="AF564" s="55"/>
      <c r="AG564" s="55"/>
      <c r="AH564" s="55"/>
      <c r="AI564" s="55"/>
    </row>
    <row r="565" ht="12.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55"/>
      <c r="AF565" s="55"/>
      <c r="AG565" s="55"/>
      <c r="AH565" s="55"/>
      <c r="AI565" s="55"/>
    </row>
    <row r="566" ht="12.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55"/>
      <c r="AF566" s="55"/>
      <c r="AG566" s="55"/>
      <c r="AH566" s="55"/>
      <c r="AI566" s="55"/>
    </row>
    <row r="567" ht="12.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55"/>
      <c r="AF567" s="55"/>
      <c r="AG567" s="55"/>
      <c r="AH567" s="55"/>
      <c r="AI567" s="55"/>
    </row>
    <row r="568" ht="12.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55"/>
      <c r="AF568" s="55"/>
      <c r="AG568" s="55"/>
      <c r="AH568" s="55"/>
      <c r="AI568" s="55"/>
    </row>
    <row r="569" ht="12.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55"/>
      <c r="AF569" s="55"/>
      <c r="AG569" s="55"/>
      <c r="AH569" s="55"/>
      <c r="AI569" s="55"/>
    </row>
    <row r="570" ht="12.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55"/>
      <c r="AF570" s="55"/>
      <c r="AG570" s="55"/>
      <c r="AH570" s="55"/>
      <c r="AI570" s="55"/>
    </row>
    <row r="571" ht="12.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55"/>
      <c r="AF571" s="55"/>
      <c r="AG571" s="55"/>
      <c r="AH571" s="55"/>
      <c r="AI571" s="55"/>
    </row>
    <row r="572" ht="12.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55"/>
      <c r="AF572" s="55"/>
      <c r="AG572" s="55"/>
      <c r="AH572" s="55"/>
      <c r="AI572" s="55"/>
    </row>
    <row r="573" ht="12.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55"/>
      <c r="AF573" s="55"/>
      <c r="AG573" s="55"/>
      <c r="AH573" s="55"/>
      <c r="AI573" s="55"/>
    </row>
    <row r="574" ht="12.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55"/>
      <c r="AF574" s="55"/>
      <c r="AG574" s="55"/>
      <c r="AH574" s="55"/>
      <c r="AI574" s="55"/>
    </row>
    <row r="575" ht="12.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55"/>
      <c r="AF575" s="55"/>
      <c r="AG575" s="55"/>
      <c r="AH575" s="55"/>
      <c r="AI575" s="55"/>
    </row>
    <row r="576" ht="12.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55"/>
      <c r="AF576" s="55"/>
      <c r="AG576" s="55"/>
      <c r="AH576" s="55"/>
      <c r="AI576" s="55"/>
    </row>
    <row r="577" ht="12.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55"/>
      <c r="AF577" s="55"/>
      <c r="AG577" s="55"/>
      <c r="AH577" s="55"/>
      <c r="AI577" s="55"/>
    </row>
    <row r="578" ht="12.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55"/>
      <c r="AF578" s="55"/>
      <c r="AG578" s="55"/>
      <c r="AH578" s="55"/>
      <c r="AI578" s="55"/>
    </row>
    <row r="579" ht="12.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55"/>
      <c r="AF579" s="55"/>
      <c r="AG579" s="55"/>
      <c r="AH579" s="55"/>
      <c r="AI579" s="55"/>
    </row>
    <row r="580" ht="12.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row>
    <row r="581" ht="12.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55"/>
      <c r="AF581" s="55"/>
      <c r="AG581" s="55"/>
      <c r="AH581" s="55"/>
      <c r="AI581" s="55"/>
    </row>
    <row r="582" ht="12.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row>
    <row r="583" ht="12.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55"/>
      <c r="AF583" s="55"/>
      <c r="AG583" s="55"/>
      <c r="AH583" s="55"/>
      <c r="AI583" s="55"/>
    </row>
    <row r="584" ht="12.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55"/>
      <c r="AF584" s="55"/>
      <c r="AG584" s="55"/>
      <c r="AH584" s="55"/>
      <c r="AI584" s="55"/>
    </row>
    <row r="585" ht="12.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55"/>
      <c r="AF585" s="55"/>
      <c r="AG585" s="55"/>
      <c r="AH585" s="55"/>
      <c r="AI585" s="55"/>
    </row>
    <row r="586" ht="12.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55"/>
      <c r="AF586" s="55"/>
      <c r="AG586" s="55"/>
      <c r="AH586" s="55"/>
      <c r="AI586" s="55"/>
    </row>
    <row r="587" ht="12.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55"/>
      <c r="AF587" s="55"/>
      <c r="AG587" s="55"/>
      <c r="AH587" s="55"/>
      <c r="AI587" s="55"/>
    </row>
    <row r="588" ht="12.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55"/>
      <c r="AF588" s="55"/>
      <c r="AG588" s="55"/>
      <c r="AH588" s="55"/>
      <c r="AI588" s="55"/>
    </row>
    <row r="589" ht="12.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55"/>
      <c r="AF589" s="55"/>
      <c r="AG589" s="55"/>
      <c r="AH589" s="55"/>
      <c r="AI589" s="55"/>
    </row>
    <row r="590" ht="12.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55"/>
      <c r="AF590" s="55"/>
      <c r="AG590" s="55"/>
      <c r="AH590" s="55"/>
      <c r="AI590" s="55"/>
    </row>
    <row r="591" ht="12.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55"/>
      <c r="AF591" s="55"/>
      <c r="AG591" s="55"/>
      <c r="AH591" s="55"/>
      <c r="AI591" s="55"/>
    </row>
    <row r="592" ht="12.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55"/>
      <c r="AF592" s="55"/>
      <c r="AG592" s="55"/>
      <c r="AH592" s="55"/>
      <c r="AI592" s="55"/>
    </row>
    <row r="593" ht="12.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c r="AD593" s="55"/>
      <c r="AE593" s="55"/>
      <c r="AF593" s="55"/>
      <c r="AG593" s="55"/>
      <c r="AH593" s="55"/>
      <c r="AI593" s="55"/>
    </row>
    <row r="594" ht="12.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c r="AD594" s="55"/>
      <c r="AE594" s="55"/>
      <c r="AF594" s="55"/>
      <c r="AG594" s="55"/>
      <c r="AH594" s="55"/>
      <c r="AI594" s="55"/>
    </row>
    <row r="595" ht="12.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c r="AD595" s="55"/>
      <c r="AE595" s="55"/>
      <c r="AF595" s="55"/>
      <c r="AG595" s="55"/>
      <c r="AH595" s="55"/>
      <c r="AI595" s="55"/>
    </row>
    <row r="596" ht="12.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c r="AD596" s="55"/>
      <c r="AE596" s="55"/>
      <c r="AF596" s="55"/>
      <c r="AG596" s="55"/>
      <c r="AH596" s="55"/>
      <c r="AI596" s="55"/>
    </row>
    <row r="597" ht="12.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c r="AD597" s="55"/>
      <c r="AE597" s="55"/>
      <c r="AF597" s="55"/>
      <c r="AG597" s="55"/>
      <c r="AH597" s="55"/>
      <c r="AI597" s="55"/>
    </row>
    <row r="598" ht="12.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c r="AD598" s="55"/>
      <c r="AE598" s="55"/>
      <c r="AF598" s="55"/>
      <c r="AG598" s="55"/>
      <c r="AH598" s="55"/>
      <c r="AI598" s="55"/>
    </row>
    <row r="599" ht="12.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c r="AD599" s="55"/>
      <c r="AE599" s="55"/>
      <c r="AF599" s="55"/>
      <c r="AG599" s="55"/>
      <c r="AH599" s="55"/>
      <c r="AI599" s="55"/>
    </row>
    <row r="600" ht="12.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c r="AD600" s="55"/>
      <c r="AE600" s="55"/>
      <c r="AF600" s="55"/>
      <c r="AG600" s="55"/>
      <c r="AH600" s="55"/>
      <c r="AI600" s="55"/>
    </row>
    <row r="601" ht="12.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c r="AD601" s="55"/>
      <c r="AE601" s="55"/>
      <c r="AF601" s="55"/>
      <c r="AG601" s="55"/>
      <c r="AH601" s="55"/>
      <c r="AI601" s="55"/>
    </row>
    <row r="602" ht="12.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c r="AD602" s="55"/>
      <c r="AE602" s="55"/>
      <c r="AF602" s="55"/>
      <c r="AG602" s="55"/>
      <c r="AH602" s="55"/>
      <c r="AI602" s="55"/>
    </row>
    <row r="603" ht="12.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c r="AD603" s="55"/>
      <c r="AE603" s="55"/>
      <c r="AF603" s="55"/>
      <c r="AG603" s="55"/>
      <c r="AH603" s="55"/>
      <c r="AI603" s="55"/>
    </row>
    <row r="604" ht="12.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c r="AD604" s="55"/>
      <c r="AE604" s="55"/>
      <c r="AF604" s="55"/>
      <c r="AG604" s="55"/>
      <c r="AH604" s="55"/>
      <c r="AI604" s="55"/>
    </row>
    <row r="605" ht="12.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c r="AD605" s="55"/>
      <c r="AE605" s="55"/>
      <c r="AF605" s="55"/>
      <c r="AG605" s="55"/>
      <c r="AH605" s="55"/>
      <c r="AI605" s="55"/>
    </row>
    <row r="606" ht="12.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c r="AD606" s="55"/>
      <c r="AE606" s="55"/>
      <c r="AF606" s="55"/>
      <c r="AG606" s="55"/>
      <c r="AH606" s="55"/>
      <c r="AI606" s="55"/>
    </row>
    <row r="607" ht="12.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c r="AD607" s="55"/>
      <c r="AE607" s="55"/>
      <c r="AF607" s="55"/>
      <c r="AG607" s="55"/>
      <c r="AH607" s="55"/>
      <c r="AI607" s="55"/>
    </row>
    <row r="608" ht="12.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c r="AD608" s="55"/>
      <c r="AE608" s="55"/>
      <c r="AF608" s="55"/>
      <c r="AG608" s="55"/>
      <c r="AH608" s="55"/>
      <c r="AI608" s="55"/>
    </row>
    <row r="609" ht="12.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c r="AD609" s="55"/>
      <c r="AE609" s="55"/>
      <c r="AF609" s="55"/>
      <c r="AG609" s="55"/>
      <c r="AH609" s="55"/>
      <c r="AI609" s="55"/>
    </row>
    <row r="610" ht="12.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c r="AD610" s="55"/>
      <c r="AE610" s="55"/>
      <c r="AF610" s="55"/>
      <c r="AG610" s="55"/>
      <c r="AH610" s="55"/>
      <c r="AI610" s="55"/>
    </row>
    <row r="611" ht="12.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c r="AD611" s="55"/>
      <c r="AE611" s="55"/>
      <c r="AF611" s="55"/>
      <c r="AG611" s="55"/>
      <c r="AH611" s="55"/>
      <c r="AI611" s="55"/>
    </row>
    <row r="612" ht="12.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c r="AD612" s="55"/>
      <c r="AE612" s="55"/>
      <c r="AF612" s="55"/>
      <c r="AG612" s="55"/>
      <c r="AH612" s="55"/>
      <c r="AI612" s="55"/>
    </row>
    <row r="613" ht="12.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c r="AD613" s="55"/>
      <c r="AE613" s="55"/>
      <c r="AF613" s="55"/>
      <c r="AG613" s="55"/>
      <c r="AH613" s="55"/>
      <c r="AI613" s="55"/>
    </row>
    <row r="614" ht="12.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c r="AD614" s="55"/>
      <c r="AE614" s="55"/>
      <c r="AF614" s="55"/>
      <c r="AG614" s="55"/>
      <c r="AH614" s="55"/>
      <c r="AI614" s="55"/>
    </row>
    <row r="615" ht="12.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c r="AD615" s="55"/>
      <c r="AE615" s="55"/>
      <c r="AF615" s="55"/>
      <c r="AG615" s="55"/>
      <c r="AH615" s="55"/>
      <c r="AI615" s="55"/>
    </row>
    <row r="616" ht="12.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c r="AD616" s="55"/>
      <c r="AE616" s="55"/>
      <c r="AF616" s="55"/>
      <c r="AG616" s="55"/>
      <c r="AH616" s="55"/>
      <c r="AI616" s="55"/>
    </row>
    <row r="617" ht="12.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c r="AD617" s="55"/>
      <c r="AE617" s="55"/>
      <c r="AF617" s="55"/>
      <c r="AG617" s="55"/>
      <c r="AH617" s="55"/>
      <c r="AI617" s="55"/>
    </row>
    <row r="618" ht="12.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c r="AD618" s="55"/>
      <c r="AE618" s="55"/>
      <c r="AF618" s="55"/>
      <c r="AG618" s="55"/>
      <c r="AH618" s="55"/>
      <c r="AI618" s="55"/>
    </row>
    <row r="619" ht="12.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c r="AD619" s="55"/>
      <c r="AE619" s="55"/>
      <c r="AF619" s="55"/>
      <c r="AG619" s="55"/>
      <c r="AH619" s="55"/>
      <c r="AI619" s="55"/>
    </row>
    <row r="620" ht="12.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c r="AD620" s="55"/>
      <c r="AE620" s="55"/>
      <c r="AF620" s="55"/>
      <c r="AG620" s="55"/>
      <c r="AH620" s="55"/>
      <c r="AI620" s="55"/>
    </row>
    <row r="621" ht="12.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c r="AD621" s="55"/>
      <c r="AE621" s="55"/>
      <c r="AF621" s="55"/>
      <c r="AG621" s="55"/>
      <c r="AH621" s="55"/>
      <c r="AI621" s="55"/>
    </row>
    <row r="622" ht="12.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c r="AD622" s="55"/>
      <c r="AE622" s="55"/>
      <c r="AF622" s="55"/>
      <c r="AG622" s="55"/>
      <c r="AH622" s="55"/>
      <c r="AI622" s="55"/>
    </row>
    <row r="623" ht="12.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c r="AD623" s="55"/>
      <c r="AE623" s="55"/>
      <c r="AF623" s="55"/>
      <c r="AG623" s="55"/>
      <c r="AH623" s="55"/>
      <c r="AI623" s="55"/>
    </row>
    <row r="624" ht="12.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c r="AD624" s="55"/>
      <c r="AE624" s="55"/>
      <c r="AF624" s="55"/>
      <c r="AG624" s="55"/>
      <c r="AH624" s="55"/>
      <c r="AI624" s="55"/>
    </row>
    <row r="625" ht="12.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c r="AD625" s="55"/>
      <c r="AE625" s="55"/>
      <c r="AF625" s="55"/>
      <c r="AG625" s="55"/>
      <c r="AH625" s="55"/>
      <c r="AI625" s="55"/>
    </row>
    <row r="626" ht="12.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row>
    <row r="627" ht="12.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c r="AD627" s="55"/>
      <c r="AE627" s="55"/>
      <c r="AF627" s="55"/>
      <c r="AG627" s="55"/>
      <c r="AH627" s="55"/>
      <c r="AI627" s="55"/>
    </row>
    <row r="628" ht="12.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c r="AD628" s="55"/>
      <c r="AE628" s="55"/>
      <c r="AF628" s="55"/>
      <c r="AG628" s="55"/>
      <c r="AH628" s="55"/>
      <c r="AI628" s="55"/>
    </row>
    <row r="629" ht="12.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c r="AD629" s="55"/>
      <c r="AE629" s="55"/>
      <c r="AF629" s="55"/>
      <c r="AG629" s="55"/>
      <c r="AH629" s="55"/>
      <c r="AI629" s="55"/>
    </row>
    <row r="630" ht="12.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c r="AD630" s="55"/>
      <c r="AE630" s="55"/>
      <c r="AF630" s="55"/>
      <c r="AG630" s="55"/>
      <c r="AH630" s="55"/>
      <c r="AI630" s="55"/>
    </row>
    <row r="631" ht="12.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c r="AD631" s="55"/>
      <c r="AE631" s="55"/>
      <c r="AF631" s="55"/>
      <c r="AG631" s="55"/>
      <c r="AH631" s="55"/>
      <c r="AI631" s="55"/>
    </row>
    <row r="632" ht="12.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c r="AD632" s="55"/>
      <c r="AE632" s="55"/>
      <c r="AF632" s="55"/>
      <c r="AG632" s="55"/>
      <c r="AH632" s="55"/>
      <c r="AI632" s="55"/>
    </row>
    <row r="633" ht="12.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c r="AD633" s="55"/>
      <c r="AE633" s="55"/>
      <c r="AF633" s="55"/>
      <c r="AG633" s="55"/>
      <c r="AH633" s="55"/>
      <c r="AI633" s="55"/>
    </row>
    <row r="634" ht="12.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c r="AD634" s="55"/>
      <c r="AE634" s="55"/>
      <c r="AF634" s="55"/>
      <c r="AG634" s="55"/>
      <c r="AH634" s="55"/>
      <c r="AI634" s="55"/>
    </row>
    <row r="635" ht="12.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c r="AD635" s="55"/>
      <c r="AE635" s="55"/>
      <c r="AF635" s="55"/>
      <c r="AG635" s="55"/>
      <c r="AH635" s="55"/>
      <c r="AI635" s="55"/>
    </row>
    <row r="636" ht="12.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c r="AD636" s="55"/>
      <c r="AE636" s="55"/>
      <c r="AF636" s="55"/>
      <c r="AG636" s="55"/>
      <c r="AH636" s="55"/>
      <c r="AI636" s="55"/>
    </row>
    <row r="637" ht="12.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c r="AD637" s="55"/>
      <c r="AE637" s="55"/>
      <c r="AF637" s="55"/>
      <c r="AG637" s="55"/>
      <c r="AH637" s="55"/>
      <c r="AI637" s="55"/>
    </row>
    <row r="638" ht="12.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c r="AD638" s="55"/>
      <c r="AE638" s="55"/>
      <c r="AF638" s="55"/>
      <c r="AG638" s="55"/>
      <c r="AH638" s="55"/>
      <c r="AI638" s="55"/>
    </row>
    <row r="639" ht="12.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c r="AD639" s="55"/>
      <c r="AE639" s="55"/>
      <c r="AF639" s="55"/>
      <c r="AG639" s="55"/>
      <c r="AH639" s="55"/>
      <c r="AI639" s="55"/>
    </row>
    <row r="640" ht="12.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c r="AD640" s="55"/>
      <c r="AE640" s="55"/>
      <c r="AF640" s="55"/>
      <c r="AG640" s="55"/>
      <c r="AH640" s="55"/>
      <c r="AI640" s="55"/>
    </row>
    <row r="641" ht="12.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c r="AD641" s="55"/>
      <c r="AE641" s="55"/>
      <c r="AF641" s="55"/>
      <c r="AG641" s="55"/>
      <c r="AH641" s="55"/>
      <c r="AI641" s="55"/>
    </row>
    <row r="642" ht="12.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c r="AD642" s="55"/>
      <c r="AE642" s="55"/>
      <c r="AF642" s="55"/>
      <c r="AG642" s="55"/>
      <c r="AH642" s="55"/>
      <c r="AI642" s="55"/>
    </row>
    <row r="643" ht="12.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c r="AD643" s="55"/>
      <c r="AE643" s="55"/>
      <c r="AF643" s="55"/>
      <c r="AG643" s="55"/>
      <c r="AH643" s="55"/>
      <c r="AI643" s="55"/>
    </row>
    <row r="644" ht="12.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c r="AD644" s="55"/>
      <c r="AE644" s="55"/>
      <c r="AF644" s="55"/>
      <c r="AG644" s="55"/>
      <c r="AH644" s="55"/>
      <c r="AI644" s="55"/>
    </row>
    <row r="645" ht="12.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c r="AD645" s="55"/>
      <c r="AE645" s="55"/>
      <c r="AF645" s="55"/>
      <c r="AG645" s="55"/>
      <c r="AH645" s="55"/>
      <c r="AI645" s="55"/>
    </row>
    <row r="646" ht="12.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c r="AD646" s="55"/>
      <c r="AE646" s="55"/>
      <c r="AF646" s="55"/>
      <c r="AG646" s="55"/>
      <c r="AH646" s="55"/>
      <c r="AI646" s="55"/>
    </row>
    <row r="647" ht="12.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c r="AD647" s="55"/>
      <c r="AE647" s="55"/>
      <c r="AF647" s="55"/>
      <c r="AG647" s="55"/>
      <c r="AH647" s="55"/>
      <c r="AI647" s="55"/>
    </row>
    <row r="648" ht="12.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c r="AD648" s="55"/>
      <c r="AE648" s="55"/>
      <c r="AF648" s="55"/>
      <c r="AG648" s="55"/>
      <c r="AH648" s="55"/>
      <c r="AI648" s="55"/>
    </row>
    <row r="649" ht="12.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c r="AD649" s="55"/>
      <c r="AE649" s="55"/>
      <c r="AF649" s="55"/>
      <c r="AG649" s="55"/>
      <c r="AH649" s="55"/>
      <c r="AI649" s="55"/>
    </row>
    <row r="650" ht="12.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c r="AD650" s="55"/>
      <c r="AE650" s="55"/>
      <c r="AF650" s="55"/>
      <c r="AG650" s="55"/>
      <c r="AH650" s="55"/>
      <c r="AI650" s="55"/>
    </row>
    <row r="651" ht="12.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c r="AD651" s="55"/>
      <c r="AE651" s="55"/>
      <c r="AF651" s="55"/>
      <c r="AG651" s="55"/>
      <c r="AH651" s="55"/>
      <c r="AI651" s="55"/>
    </row>
    <row r="652" ht="12.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c r="AD652" s="55"/>
      <c r="AE652" s="55"/>
      <c r="AF652" s="55"/>
      <c r="AG652" s="55"/>
      <c r="AH652" s="55"/>
      <c r="AI652" s="55"/>
    </row>
    <row r="653" ht="12.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c r="AD653" s="55"/>
      <c r="AE653" s="55"/>
      <c r="AF653" s="55"/>
      <c r="AG653" s="55"/>
      <c r="AH653" s="55"/>
      <c r="AI653" s="55"/>
    </row>
    <row r="654" ht="12.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c r="AD654" s="55"/>
      <c r="AE654" s="55"/>
      <c r="AF654" s="55"/>
      <c r="AG654" s="55"/>
      <c r="AH654" s="55"/>
      <c r="AI654" s="55"/>
    </row>
    <row r="655" ht="12.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c r="AD655" s="55"/>
      <c r="AE655" s="55"/>
      <c r="AF655" s="55"/>
      <c r="AG655" s="55"/>
      <c r="AH655" s="55"/>
      <c r="AI655" s="55"/>
    </row>
    <row r="656" ht="12.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c r="AD656" s="55"/>
      <c r="AE656" s="55"/>
      <c r="AF656" s="55"/>
      <c r="AG656" s="55"/>
      <c r="AH656" s="55"/>
      <c r="AI656" s="55"/>
    </row>
    <row r="657" ht="12.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c r="AD657" s="55"/>
      <c r="AE657" s="55"/>
      <c r="AF657" s="55"/>
      <c r="AG657" s="55"/>
      <c r="AH657" s="55"/>
      <c r="AI657" s="55"/>
    </row>
    <row r="658" ht="12.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c r="AD658" s="55"/>
      <c r="AE658" s="55"/>
      <c r="AF658" s="55"/>
      <c r="AG658" s="55"/>
      <c r="AH658" s="55"/>
      <c r="AI658" s="55"/>
    </row>
    <row r="659" ht="12.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c r="AD659" s="55"/>
      <c r="AE659" s="55"/>
      <c r="AF659" s="55"/>
      <c r="AG659" s="55"/>
      <c r="AH659" s="55"/>
      <c r="AI659" s="55"/>
    </row>
    <row r="660" ht="12.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c r="AD660" s="55"/>
      <c r="AE660" s="55"/>
      <c r="AF660" s="55"/>
      <c r="AG660" s="55"/>
      <c r="AH660" s="55"/>
      <c r="AI660" s="55"/>
    </row>
    <row r="661" ht="12.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c r="AD661" s="55"/>
      <c r="AE661" s="55"/>
      <c r="AF661" s="55"/>
      <c r="AG661" s="55"/>
      <c r="AH661" s="55"/>
      <c r="AI661" s="55"/>
    </row>
    <row r="662" ht="12.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c r="AD662" s="55"/>
      <c r="AE662" s="55"/>
      <c r="AF662" s="55"/>
      <c r="AG662" s="55"/>
      <c r="AH662" s="55"/>
      <c r="AI662" s="55"/>
    </row>
    <row r="663" ht="12.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c r="AD663" s="55"/>
      <c r="AE663" s="55"/>
      <c r="AF663" s="55"/>
      <c r="AG663" s="55"/>
      <c r="AH663" s="55"/>
      <c r="AI663" s="55"/>
    </row>
    <row r="664" ht="12.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c r="AD664" s="55"/>
      <c r="AE664" s="55"/>
      <c r="AF664" s="55"/>
      <c r="AG664" s="55"/>
      <c r="AH664" s="55"/>
      <c r="AI664" s="55"/>
    </row>
    <row r="665" ht="12.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c r="AD665" s="55"/>
      <c r="AE665" s="55"/>
      <c r="AF665" s="55"/>
      <c r="AG665" s="55"/>
      <c r="AH665" s="55"/>
      <c r="AI665" s="55"/>
    </row>
    <row r="666" ht="12.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c r="AD666" s="55"/>
      <c r="AE666" s="55"/>
      <c r="AF666" s="55"/>
      <c r="AG666" s="55"/>
      <c r="AH666" s="55"/>
      <c r="AI666" s="55"/>
    </row>
    <row r="667" ht="12.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c r="AD667" s="55"/>
      <c r="AE667" s="55"/>
      <c r="AF667" s="55"/>
      <c r="AG667" s="55"/>
      <c r="AH667" s="55"/>
      <c r="AI667" s="55"/>
    </row>
    <row r="668" ht="12.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c r="AD668" s="55"/>
      <c r="AE668" s="55"/>
      <c r="AF668" s="55"/>
      <c r="AG668" s="55"/>
      <c r="AH668" s="55"/>
      <c r="AI668" s="55"/>
    </row>
    <row r="669" ht="12.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c r="AD669" s="55"/>
      <c r="AE669" s="55"/>
      <c r="AF669" s="55"/>
      <c r="AG669" s="55"/>
      <c r="AH669" s="55"/>
      <c r="AI669" s="55"/>
    </row>
    <row r="670" ht="12.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c r="AD670" s="55"/>
      <c r="AE670" s="55"/>
      <c r="AF670" s="55"/>
      <c r="AG670" s="55"/>
      <c r="AH670" s="55"/>
      <c r="AI670" s="55"/>
    </row>
    <row r="671" ht="12.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c r="AD671" s="55"/>
      <c r="AE671" s="55"/>
      <c r="AF671" s="55"/>
      <c r="AG671" s="55"/>
      <c r="AH671" s="55"/>
      <c r="AI671" s="55"/>
    </row>
    <row r="672" ht="12.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c r="AD672" s="55"/>
      <c r="AE672" s="55"/>
      <c r="AF672" s="55"/>
      <c r="AG672" s="55"/>
      <c r="AH672" s="55"/>
      <c r="AI672" s="55"/>
    </row>
    <row r="673" ht="12.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c r="AD673" s="55"/>
      <c r="AE673" s="55"/>
      <c r="AF673" s="55"/>
      <c r="AG673" s="55"/>
      <c r="AH673" s="55"/>
      <c r="AI673" s="55"/>
    </row>
    <row r="674" ht="12.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c r="AD674" s="55"/>
      <c r="AE674" s="55"/>
      <c r="AF674" s="55"/>
      <c r="AG674" s="55"/>
      <c r="AH674" s="55"/>
      <c r="AI674" s="55"/>
    </row>
    <row r="675" ht="12.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c r="AD675" s="55"/>
      <c r="AE675" s="55"/>
      <c r="AF675" s="55"/>
      <c r="AG675" s="55"/>
      <c r="AH675" s="55"/>
      <c r="AI675" s="55"/>
    </row>
    <row r="676" ht="12.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c r="AD676" s="55"/>
      <c r="AE676" s="55"/>
      <c r="AF676" s="55"/>
      <c r="AG676" s="55"/>
      <c r="AH676" s="55"/>
      <c r="AI676" s="55"/>
    </row>
    <row r="677" ht="12.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row>
    <row r="678" ht="12.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c r="AD678" s="55"/>
      <c r="AE678" s="55"/>
      <c r="AF678" s="55"/>
      <c r="AG678" s="55"/>
      <c r="AH678" s="55"/>
      <c r="AI678" s="55"/>
    </row>
    <row r="679" ht="12.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c r="AD679" s="55"/>
      <c r="AE679" s="55"/>
      <c r="AF679" s="55"/>
      <c r="AG679" s="55"/>
      <c r="AH679" s="55"/>
      <c r="AI679" s="55"/>
    </row>
    <row r="680" ht="12.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c r="AD680" s="55"/>
      <c r="AE680" s="55"/>
      <c r="AF680" s="55"/>
      <c r="AG680" s="55"/>
      <c r="AH680" s="55"/>
      <c r="AI680" s="55"/>
    </row>
    <row r="681" ht="12.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row>
    <row r="682" ht="12.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c r="AD682" s="55"/>
      <c r="AE682" s="55"/>
      <c r="AF682" s="55"/>
      <c r="AG682" s="55"/>
      <c r="AH682" s="55"/>
      <c r="AI682" s="55"/>
    </row>
    <row r="683" ht="12.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c r="AD683" s="55"/>
      <c r="AE683" s="55"/>
      <c r="AF683" s="55"/>
      <c r="AG683" s="55"/>
      <c r="AH683" s="55"/>
      <c r="AI683" s="55"/>
    </row>
    <row r="684" ht="12.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c r="AD684" s="55"/>
      <c r="AE684" s="55"/>
      <c r="AF684" s="55"/>
      <c r="AG684" s="55"/>
      <c r="AH684" s="55"/>
      <c r="AI684" s="55"/>
    </row>
    <row r="685" ht="12.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c r="AD685" s="55"/>
      <c r="AE685" s="55"/>
      <c r="AF685" s="55"/>
      <c r="AG685" s="55"/>
      <c r="AH685" s="55"/>
      <c r="AI685" s="55"/>
    </row>
    <row r="686" ht="12.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c r="AD686" s="55"/>
      <c r="AE686" s="55"/>
      <c r="AF686" s="55"/>
      <c r="AG686" s="55"/>
      <c r="AH686" s="55"/>
      <c r="AI686" s="55"/>
    </row>
    <row r="687" ht="12.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c r="AD687" s="55"/>
      <c r="AE687" s="55"/>
      <c r="AF687" s="55"/>
      <c r="AG687" s="55"/>
      <c r="AH687" s="55"/>
      <c r="AI687" s="55"/>
    </row>
    <row r="688" ht="12.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c r="AD688" s="55"/>
      <c r="AE688" s="55"/>
      <c r="AF688" s="55"/>
      <c r="AG688" s="55"/>
      <c r="AH688" s="55"/>
      <c r="AI688" s="55"/>
    </row>
    <row r="689" ht="12.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c r="AD689" s="55"/>
      <c r="AE689" s="55"/>
      <c r="AF689" s="55"/>
      <c r="AG689" s="55"/>
      <c r="AH689" s="55"/>
      <c r="AI689" s="55"/>
    </row>
    <row r="690" ht="12.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c r="AD690" s="55"/>
      <c r="AE690" s="55"/>
      <c r="AF690" s="55"/>
      <c r="AG690" s="55"/>
      <c r="AH690" s="55"/>
      <c r="AI690" s="55"/>
    </row>
    <row r="691" ht="12.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row>
    <row r="692" ht="12.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c r="AD692" s="55"/>
      <c r="AE692" s="55"/>
      <c r="AF692" s="55"/>
      <c r="AG692" s="55"/>
      <c r="AH692" s="55"/>
      <c r="AI692" s="55"/>
    </row>
    <row r="693" ht="12.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c r="AD693" s="55"/>
      <c r="AE693" s="55"/>
      <c r="AF693" s="55"/>
      <c r="AG693" s="55"/>
      <c r="AH693" s="55"/>
      <c r="AI693" s="55"/>
    </row>
    <row r="694" ht="12.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c r="AD694" s="55"/>
      <c r="AE694" s="55"/>
      <c r="AF694" s="55"/>
      <c r="AG694" s="55"/>
      <c r="AH694" s="55"/>
      <c r="AI694" s="55"/>
    </row>
    <row r="695" ht="12.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c r="AD695" s="55"/>
      <c r="AE695" s="55"/>
      <c r="AF695" s="55"/>
      <c r="AG695" s="55"/>
      <c r="AH695" s="55"/>
      <c r="AI695" s="55"/>
    </row>
    <row r="696" ht="12.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c r="AD696" s="55"/>
      <c r="AE696" s="55"/>
      <c r="AF696" s="55"/>
      <c r="AG696" s="55"/>
      <c r="AH696" s="55"/>
      <c r="AI696" s="55"/>
    </row>
    <row r="697" ht="12.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c r="AD697" s="55"/>
      <c r="AE697" s="55"/>
      <c r="AF697" s="55"/>
      <c r="AG697" s="55"/>
      <c r="AH697" s="55"/>
      <c r="AI697" s="55"/>
    </row>
    <row r="698" ht="12.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c r="AD698" s="55"/>
      <c r="AE698" s="55"/>
      <c r="AF698" s="55"/>
      <c r="AG698" s="55"/>
      <c r="AH698" s="55"/>
      <c r="AI698" s="55"/>
    </row>
    <row r="699" ht="12.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c r="AD699" s="55"/>
      <c r="AE699" s="55"/>
      <c r="AF699" s="55"/>
      <c r="AG699" s="55"/>
      <c r="AH699" s="55"/>
      <c r="AI699" s="55"/>
    </row>
    <row r="700" ht="12.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c r="AD700" s="55"/>
      <c r="AE700" s="55"/>
      <c r="AF700" s="55"/>
      <c r="AG700" s="55"/>
      <c r="AH700" s="55"/>
      <c r="AI700" s="55"/>
    </row>
    <row r="701" ht="12.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c r="AD701" s="55"/>
      <c r="AE701" s="55"/>
      <c r="AF701" s="55"/>
      <c r="AG701" s="55"/>
      <c r="AH701" s="55"/>
      <c r="AI701" s="55"/>
    </row>
    <row r="702" ht="12.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c r="AD702" s="55"/>
      <c r="AE702" s="55"/>
      <c r="AF702" s="55"/>
      <c r="AG702" s="55"/>
      <c r="AH702" s="55"/>
      <c r="AI702" s="55"/>
    </row>
    <row r="703" ht="12.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c r="AD703" s="55"/>
      <c r="AE703" s="55"/>
      <c r="AF703" s="55"/>
      <c r="AG703" s="55"/>
      <c r="AH703" s="55"/>
      <c r="AI703" s="55"/>
    </row>
    <row r="704" ht="12.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c r="AD704" s="55"/>
      <c r="AE704" s="55"/>
      <c r="AF704" s="55"/>
      <c r="AG704" s="55"/>
      <c r="AH704" s="55"/>
      <c r="AI704" s="55"/>
    </row>
    <row r="705" ht="12.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c r="AD705" s="55"/>
      <c r="AE705" s="55"/>
      <c r="AF705" s="55"/>
      <c r="AG705" s="55"/>
      <c r="AH705" s="55"/>
      <c r="AI705" s="55"/>
    </row>
    <row r="706" ht="12.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c r="AD706" s="55"/>
      <c r="AE706" s="55"/>
      <c r="AF706" s="55"/>
      <c r="AG706" s="55"/>
      <c r="AH706" s="55"/>
      <c r="AI706" s="55"/>
    </row>
    <row r="707" ht="12.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c r="AD707" s="55"/>
      <c r="AE707" s="55"/>
      <c r="AF707" s="55"/>
      <c r="AG707" s="55"/>
      <c r="AH707" s="55"/>
      <c r="AI707" s="55"/>
    </row>
    <row r="708" ht="12.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c r="AD708" s="55"/>
      <c r="AE708" s="55"/>
      <c r="AF708" s="55"/>
      <c r="AG708" s="55"/>
      <c r="AH708" s="55"/>
      <c r="AI708" s="55"/>
    </row>
    <row r="709" ht="12.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c r="AD709" s="55"/>
      <c r="AE709" s="55"/>
      <c r="AF709" s="55"/>
      <c r="AG709" s="55"/>
      <c r="AH709" s="55"/>
      <c r="AI709" s="55"/>
    </row>
    <row r="710" ht="12.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c r="AD710" s="55"/>
      <c r="AE710" s="55"/>
      <c r="AF710" s="55"/>
      <c r="AG710" s="55"/>
      <c r="AH710" s="55"/>
      <c r="AI710" s="55"/>
    </row>
    <row r="711" ht="12.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c r="AD711" s="55"/>
      <c r="AE711" s="55"/>
      <c r="AF711" s="55"/>
      <c r="AG711" s="55"/>
      <c r="AH711" s="55"/>
      <c r="AI711" s="55"/>
    </row>
    <row r="712" ht="12.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c r="AD712" s="55"/>
      <c r="AE712" s="55"/>
      <c r="AF712" s="55"/>
      <c r="AG712" s="55"/>
      <c r="AH712" s="55"/>
      <c r="AI712" s="55"/>
    </row>
    <row r="713" ht="12.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55"/>
      <c r="AF713" s="55"/>
      <c r="AG713" s="55"/>
      <c r="AH713" s="55"/>
      <c r="AI713" s="55"/>
    </row>
    <row r="714" ht="12.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55"/>
      <c r="AF714" s="55"/>
      <c r="AG714" s="55"/>
      <c r="AH714" s="55"/>
      <c r="AI714" s="55"/>
    </row>
    <row r="715" ht="12.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55"/>
      <c r="AF715" s="55"/>
      <c r="AG715" s="55"/>
      <c r="AH715" s="55"/>
      <c r="AI715" s="55"/>
    </row>
    <row r="716" ht="12.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row>
    <row r="717" ht="12.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row>
    <row r="718" ht="12.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row>
    <row r="719" ht="12.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55"/>
      <c r="AF719" s="55"/>
      <c r="AG719" s="55"/>
      <c r="AH719" s="55"/>
      <c r="AI719" s="55"/>
    </row>
    <row r="720" ht="12.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55"/>
      <c r="AF720" s="55"/>
      <c r="AG720" s="55"/>
      <c r="AH720" s="55"/>
      <c r="AI720" s="55"/>
    </row>
    <row r="721" ht="12.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55"/>
      <c r="AF721" s="55"/>
      <c r="AG721" s="55"/>
      <c r="AH721" s="55"/>
      <c r="AI721" s="55"/>
    </row>
    <row r="722" ht="12.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55"/>
      <c r="AF722" s="55"/>
      <c r="AG722" s="55"/>
      <c r="AH722" s="55"/>
      <c r="AI722" s="55"/>
    </row>
    <row r="723" ht="12.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55"/>
      <c r="AF723" s="55"/>
      <c r="AG723" s="55"/>
      <c r="AH723" s="55"/>
      <c r="AI723" s="55"/>
    </row>
    <row r="724" ht="12.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55"/>
      <c r="AF724" s="55"/>
      <c r="AG724" s="55"/>
      <c r="AH724" s="55"/>
      <c r="AI724" s="55"/>
    </row>
    <row r="725" ht="12.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55"/>
      <c r="AF725" s="55"/>
      <c r="AG725" s="55"/>
      <c r="AH725" s="55"/>
      <c r="AI725" s="55"/>
    </row>
    <row r="726" ht="12.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55"/>
      <c r="AF726" s="55"/>
      <c r="AG726" s="55"/>
      <c r="AH726" s="55"/>
      <c r="AI726" s="55"/>
    </row>
    <row r="727" ht="12.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55"/>
      <c r="AF727" s="55"/>
      <c r="AG727" s="55"/>
      <c r="AH727" s="55"/>
      <c r="AI727" s="55"/>
    </row>
    <row r="728" ht="12.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55"/>
      <c r="AF728" s="55"/>
      <c r="AG728" s="55"/>
      <c r="AH728" s="55"/>
      <c r="AI728" s="55"/>
    </row>
    <row r="729" ht="12.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55"/>
      <c r="AF729" s="55"/>
      <c r="AG729" s="55"/>
      <c r="AH729" s="55"/>
      <c r="AI729" s="55"/>
    </row>
    <row r="730" ht="12.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row>
    <row r="731" ht="12.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55"/>
      <c r="AF731" s="55"/>
      <c r="AG731" s="55"/>
      <c r="AH731" s="55"/>
      <c r="AI731" s="55"/>
    </row>
    <row r="732" ht="12.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55"/>
      <c r="AF732" s="55"/>
      <c r="AG732" s="55"/>
      <c r="AH732" s="55"/>
      <c r="AI732" s="55"/>
    </row>
    <row r="733" ht="12.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row>
    <row r="734" ht="12.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row>
    <row r="735" ht="12.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row>
    <row r="736" ht="12.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row>
    <row r="737" ht="12.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row>
    <row r="738" ht="12.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row>
    <row r="739" ht="12.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row>
    <row r="740" ht="12.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row>
    <row r="741" ht="12.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row>
    <row r="742" ht="12.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row>
    <row r="743" ht="12.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row>
    <row r="744" ht="12.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row>
    <row r="745" ht="12.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row>
    <row r="746" ht="12.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row>
    <row r="747" ht="12.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row>
    <row r="748" ht="12.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row>
    <row r="749" ht="12.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row>
    <row r="750" ht="12.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row>
    <row r="751" ht="12.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row>
    <row r="752" ht="12.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row>
    <row r="753" ht="12.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row>
    <row r="754" ht="12.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row>
    <row r="755" ht="12.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row>
    <row r="756" ht="12.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row>
    <row r="757" ht="12.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row>
    <row r="758" ht="12.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row>
    <row r="759" ht="12.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row>
    <row r="760" ht="12.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row>
    <row r="761" ht="12.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row>
    <row r="762" ht="12.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row>
    <row r="763" ht="12.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row>
    <row r="764" ht="12.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row>
    <row r="765" ht="12.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row>
    <row r="766" ht="12.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row>
    <row r="767" ht="12.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row>
    <row r="768" ht="12.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row>
    <row r="769" ht="12.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row>
    <row r="770" ht="12.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row>
    <row r="771" ht="12.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row>
    <row r="772" ht="12.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row>
    <row r="773" ht="12.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row>
    <row r="774" ht="12.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row>
    <row r="775" ht="12.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row>
    <row r="776" ht="12.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row>
    <row r="777" ht="12.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row>
    <row r="778" ht="12.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row>
    <row r="779" ht="12.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row>
    <row r="780" ht="12.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row>
    <row r="781" ht="12.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row>
    <row r="782" ht="12.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row>
    <row r="783" ht="12.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row>
    <row r="784" ht="12.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row>
    <row r="785" ht="12.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row>
    <row r="786" ht="12.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row>
    <row r="787" ht="12.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row>
    <row r="788" ht="12.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row>
    <row r="789" ht="12.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row>
    <row r="790" ht="12.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row>
    <row r="791" ht="12.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row>
    <row r="792" ht="12.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row>
    <row r="793" ht="12.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row>
    <row r="794" ht="12.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row>
    <row r="795" ht="12.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row>
    <row r="796" ht="12.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row>
    <row r="797" ht="12.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row>
    <row r="798" ht="12.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row>
    <row r="799" ht="12.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row>
    <row r="800" ht="12.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row>
    <row r="801" ht="12.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row>
    <row r="802" ht="12.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row>
    <row r="803" ht="12.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row>
    <row r="804" ht="12.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row>
    <row r="805" ht="12.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row>
    <row r="806" ht="12.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row>
    <row r="807" ht="12.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row>
    <row r="808" ht="12.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row>
    <row r="809" ht="12.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row>
    <row r="810" ht="12.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row>
    <row r="811" ht="12.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row>
    <row r="812" ht="12.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row>
    <row r="813" ht="12.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row>
    <row r="814" ht="12.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row>
    <row r="815" ht="12.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row>
    <row r="816" ht="12.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row>
    <row r="817" ht="12.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row>
    <row r="818" ht="12.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row>
    <row r="819" ht="12.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row>
    <row r="820" ht="12.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row>
    <row r="821" ht="12.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row>
    <row r="822" ht="12.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row>
    <row r="823" ht="12.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row>
    <row r="824" ht="12.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row>
    <row r="825" ht="12.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row>
    <row r="826" ht="12.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row>
    <row r="827" ht="12.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row>
    <row r="828" ht="12.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row>
    <row r="829" ht="12.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row>
    <row r="830" ht="12.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row>
    <row r="831" ht="12.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row>
    <row r="832" ht="12.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row>
    <row r="833" ht="12.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row>
    <row r="834" ht="12.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row>
    <row r="835" ht="12.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row>
    <row r="836" ht="12.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row>
    <row r="837" ht="12.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row>
    <row r="838" ht="12.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row>
    <row r="839" ht="12.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row>
    <row r="840" ht="12.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row>
    <row r="841" ht="12.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row>
    <row r="842" ht="12.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row>
    <row r="843" ht="12.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row>
    <row r="844" ht="12.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row>
    <row r="845" ht="12.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row>
    <row r="846" ht="12.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row>
    <row r="847" ht="12.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row>
    <row r="848" ht="12.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row>
    <row r="849" ht="12.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row>
    <row r="850" ht="12.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row>
    <row r="851" ht="12.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row>
    <row r="852" ht="12.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row>
    <row r="853" ht="12.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row>
    <row r="854" ht="12.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row>
    <row r="855" ht="12.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row>
    <row r="856" ht="12.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row>
    <row r="857" ht="12.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row>
    <row r="858" ht="12.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row>
    <row r="859" ht="12.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row>
    <row r="860" ht="12.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row>
    <row r="861" ht="12.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row>
    <row r="862" ht="12.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row>
    <row r="863" ht="12.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row>
    <row r="864" ht="12.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row>
    <row r="865" ht="12.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row>
    <row r="866" ht="12.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row>
    <row r="867" ht="12.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row>
    <row r="868" ht="12.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row>
    <row r="869" ht="12.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row>
    <row r="870" ht="12.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row>
    <row r="871" ht="12.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row>
    <row r="872" ht="12.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row>
    <row r="873" ht="12.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row>
    <row r="874" ht="12.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row>
    <row r="875" ht="12.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row>
    <row r="876" ht="12.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row>
    <row r="877" ht="12.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row>
    <row r="878" ht="12.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row>
    <row r="879" ht="12.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row>
    <row r="880" ht="12.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row>
    <row r="881" ht="12.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row>
    <row r="882" ht="12.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row>
    <row r="883" ht="12.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row>
    <row r="884" ht="12.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row>
    <row r="885" ht="12.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row>
    <row r="886" ht="12.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row>
    <row r="887" ht="12.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row>
    <row r="888" ht="12.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row>
    <row r="889" ht="12.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row>
    <row r="890" ht="12.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row>
    <row r="891" ht="12.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row>
    <row r="892" ht="12.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row>
    <row r="893" ht="12.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row>
    <row r="894" ht="12.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row>
    <row r="895" ht="12.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row>
    <row r="896" ht="12.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row>
    <row r="897" ht="12.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row>
    <row r="898" ht="12.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row>
    <row r="899" ht="12.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row>
    <row r="900" ht="12.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row>
    <row r="901" ht="12.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row>
    <row r="902" ht="12.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row>
    <row r="903" ht="12.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row>
    <row r="904" ht="12.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row>
    <row r="905" ht="12.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row>
    <row r="906" ht="12.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row>
    <row r="907" ht="12.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row>
    <row r="908" ht="12.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row>
    <row r="909" ht="12.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row>
    <row r="910" ht="12.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row>
    <row r="911" ht="12.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row>
    <row r="912" ht="12.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row>
    <row r="913" ht="12.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row>
    <row r="914" ht="12.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row>
    <row r="915" ht="12.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row>
    <row r="916" ht="12.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row>
    <row r="917" ht="12.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row>
    <row r="918" ht="12.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row>
    <row r="919" ht="12.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row>
    <row r="920" ht="12.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row>
    <row r="921" ht="12.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row>
    <row r="922" ht="12.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row>
    <row r="923" ht="12.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row>
    <row r="924" ht="12.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row>
    <row r="925" ht="12.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row>
    <row r="926" ht="12.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row>
    <row r="927" ht="12.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row>
    <row r="928" ht="12.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row>
    <row r="929" ht="12.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row>
    <row r="930" ht="12.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row>
    <row r="931" ht="12.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row>
    <row r="932" ht="12.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row>
    <row r="933" ht="12.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row>
    <row r="934" ht="12.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row>
    <row r="935" ht="12.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row>
    <row r="936" ht="12.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row>
    <row r="937" ht="12.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row>
    <row r="938" ht="12.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row>
    <row r="939" ht="12.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row>
    <row r="940" ht="12.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row>
    <row r="941" ht="12.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row>
    <row r="942" ht="12.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row>
    <row r="943" ht="12.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row>
    <row r="944" ht="12.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row>
    <row r="945" ht="12.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row>
    <row r="946" ht="12.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row>
    <row r="947" ht="12.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row>
    <row r="948" ht="12.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row>
    <row r="949" ht="12.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row>
    <row r="950" ht="12.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row>
    <row r="951" ht="12.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row>
    <row r="952" ht="12.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row>
    <row r="953" ht="12.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row>
    <row r="954" ht="12.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row>
    <row r="955" ht="12.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row>
    <row r="956" ht="12.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row>
    <row r="957" ht="12.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row>
    <row r="958" ht="12.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row>
    <row r="959" ht="12.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row>
    <row r="960" ht="12.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row>
    <row r="961" ht="12.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row>
    <row r="962" ht="12.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row>
    <row r="963" ht="12.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row>
    <row r="964" ht="12.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row>
    <row r="965" ht="12.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row>
    <row r="966" ht="12.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row>
    <row r="967" ht="12.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row>
    <row r="968" ht="12.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row>
    <row r="969" ht="12.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row>
    <row r="970" ht="12.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row>
    <row r="971" ht="12.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row>
    <row r="972" ht="12.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row>
    <row r="973" ht="12.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row>
    <row r="974" ht="12.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row>
    <row r="975" ht="12.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row>
    <row r="976" ht="12.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row>
    <row r="977" ht="12.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row>
    <row r="978" ht="12.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row>
    <row r="979" ht="12.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row>
    <row r="980" ht="12.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row>
    <row r="981" ht="12.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row>
    <row r="982" ht="12.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row>
    <row r="983" ht="12.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row>
    <row r="984" ht="12.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row>
    <row r="985" ht="12.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row>
    <row r="986" ht="12.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row>
    <row r="987" ht="12.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row>
    <row r="988" ht="12.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row>
    <row r="989" ht="12.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row>
    <row r="990" ht="12.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row>
    <row r="991" ht="12.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row>
    <row r="992" ht="12.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row>
    <row r="993" ht="12.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row>
    <row r="994" ht="12.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row>
    <row r="995" ht="12.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row>
    <row r="996" ht="12.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row>
    <row r="997" ht="12.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row>
    <row r="998" ht="12.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row>
    <row r="999" ht="12.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row>
    <row r="1000" ht="12.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row>
  </sheetData>
  <mergeCells count="25">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A1:G1"/>
    <mergeCell ref="H1:K1"/>
    <mergeCell ref="L1:O1"/>
    <mergeCell ref="A2:B2"/>
    <mergeCell ref="A3:A12"/>
    <mergeCell ref="B3:B4"/>
    <mergeCell ref="B5:B6"/>
  </mergeCells>
  <dataValidations>
    <dataValidation type="list" allowBlank="1" showErrorMessage="1" sqref="E3 E5 E7">
      <formula1>"Ongoing,Validated,Not validated,To evaluate"</formula1>
    </dataValidation>
    <dataValidation type="list" allowBlank="1" showErrorMessage="1" sqref="E9 E11">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152</v>
      </c>
      <c r="B1" s="2"/>
      <c r="C1" s="2"/>
      <c r="D1" s="2"/>
      <c r="E1" s="2"/>
      <c r="F1" s="2"/>
      <c r="G1" s="3"/>
      <c r="H1" s="48" t="s">
        <v>153</v>
      </c>
      <c r="I1" s="2"/>
      <c r="J1" s="2"/>
      <c r="K1" s="3"/>
      <c r="L1" s="49" t="s">
        <v>154</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155</v>
      </c>
      <c r="P2" s="55"/>
      <c r="Q2" s="55"/>
      <c r="R2" s="55"/>
      <c r="S2" s="55"/>
      <c r="T2" s="55"/>
      <c r="U2" s="55"/>
      <c r="V2" s="55"/>
      <c r="W2" s="55"/>
      <c r="X2" s="55"/>
      <c r="Y2" s="55"/>
      <c r="Z2" s="55"/>
      <c r="AA2" s="55"/>
      <c r="AB2" s="55"/>
      <c r="AC2" s="55"/>
      <c r="AD2" s="55"/>
      <c r="AE2" s="55"/>
      <c r="AF2" s="55"/>
      <c r="AG2" s="55"/>
      <c r="AH2" s="55"/>
      <c r="AI2" s="55"/>
    </row>
    <row r="3" ht="12.75" customHeight="1">
      <c r="A3" s="56" t="s">
        <v>156</v>
      </c>
      <c r="B3" s="57" t="s">
        <v>157</v>
      </c>
      <c r="C3" s="58" t="s">
        <v>158</v>
      </c>
      <c r="D3" s="78" t="s">
        <v>75</v>
      </c>
      <c r="E3" s="79" t="s">
        <v>61</v>
      </c>
      <c r="F3" s="61" t="s">
        <v>19</v>
      </c>
      <c r="G3" s="62" t="s">
        <v>159</v>
      </c>
      <c r="H3" s="63" t="s">
        <v>82</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1.25</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1.25</v>
      </c>
      <c r="N3" s="91" t="s">
        <v>64</v>
      </c>
      <c r="O3" s="67" t="s">
        <v>160</v>
      </c>
    </row>
    <row r="4" ht="83.25" customHeight="1">
      <c r="A4" s="68"/>
      <c r="B4" s="69"/>
      <c r="C4" s="70"/>
      <c r="D4" s="2"/>
      <c r="E4" s="2"/>
      <c r="F4" s="2"/>
      <c r="G4" s="3"/>
      <c r="H4" s="71" t="s">
        <v>161</v>
      </c>
      <c r="I4" s="2"/>
      <c r="J4" s="2"/>
      <c r="K4" s="2"/>
      <c r="L4" s="2"/>
      <c r="M4" s="2"/>
      <c r="N4" s="3"/>
      <c r="O4" s="69"/>
    </row>
    <row r="5" ht="12.75" customHeight="1">
      <c r="A5" s="68"/>
      <c r="B5" s="72" t="s">
        <v>162</v>
      </c>
      <c r="C5" s="73" t="s">
        <v>163</v>
      </c>
      <c r="D5" s="59" t="s">
        <v>60</v>
      </c>
      <c r="E5" s="74" t="s">
        <v>61</v>
      </c>
      <c r="F5" s="75" t="s">
        <v>19</v>
      </c>
      <c r="G5" s="76" t="s">
        <v>164</v>
      </c>
      <c r="H5" s="63" t="s">
        <v>82</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1.5</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1.5</v>
      </c>
      <c r="N5" s="91" t="s">
        <v>64</v>
      </c>
      <c r="O5" s="67" t="s">
        <v>165</v>
      </c>
    </row>
    <row r="6" ht="78.0" customHeight="1">
      <c r="A6" s="68"/>
      <c r="B6" s="69"/>
      <c r="C6" s="77"/>
      <c r="D6" s="2"/>
      <c r="E6" s="2"/>
      <c r="F6" s="2"/>
      <c r="G6" s="3"/>
      <c r="H6" s="71" t="s">
        <v>166</v>
      </c>
      <c r="I6" s="2"/>
      <c r="J6" s="2"/>
      <c r="K6" s="2"/>
      <c r="L6" s="2"/>
      <c r="M6" s="2"/>
      <c r="N6" s="3"/>
      <c r="O6" s="69"/>
    </row>
    <row r="7" ht="12.75" customHeight="1">
      <c r="A7" s="68"/>
      <c r="B7" s="57" t="s">
        <v>167</v>
      </c>
      <c r="C7" s="58" t="s">
        <v>168</v>
      </c>
      <c r="D7" s="59" t="s">
        <v>60</v>
      </c>
      <c r="E7" s="79" t="s">
        <v>61</v>
      </c>
      <c r="F7" s="61" t="s">
        <v>19</v>
      </c>
      <c r="G7" s="62" t="s">
        <v>169</v>
      </c>
      <c r="H7" s="63" t="s">
        <v>63</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1.5</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1.5</v>
      </c>
      <c r="N7" s="91" t="s">
        <v>64</v>
      </c>
      <c r="O7" s="67" t="s">
        <v>170</v>
      </c>
    </row>
    <row r="8" ht="42.0" customHeight="1">
      <c r="A8" s="68"/>
      <c r="B8" s="69"/>
      <c r="C8" s="70"/>
      <c r="D8" s="2"/>
      <c r="E8" s="2"/>
      <c r="F8" s="2"/>
      <c r="G8" s="3"/>
      <c r="H8" s="71" t="s">
        <v>171</v>
      </c>
      <c r="I8" s="2"/>
      <c r="J8" s="2"/>
      <c r="K8" s="2"/>
      <c r="L8" s="2"/>
      <c r="M8" s="2"/>
      <c r="N8" s="3"/>
      <c r="O8" s="69"/>
    </row>
    <row r="9" ht="12.75" customHeight="1">
      <c r="A9" s="68"/>
      <c r="B9" s="72" t="s">
        <v>172</v>
      </c>
      <c r="C9" s="73" t="s">
        <v>173</v>
      </c>
      <c r="D9" s="82" t="s">
        <v>102</v>
      </c>
      <c r="E9" s="74" t="s">
        <v>61</v>
      </c>
      <c r="F9" s="75" t="s">
        <v>19</v>
      </c>
      <c r="G9" s="76" t="s">
        <v>174</v>
      </c>
      <c r="H9" s="63" t="s">
        <v>63</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1</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v>
      </c>
      <c r="N9" s="91" t="s">
        <v>64</v>
      </c>
      <c r="O9" s="67" t="s">
        <v>175</v>
      </c>
    </row>
    <row r="10" ht="49.5" customHeight="1">
      <c r="A10" s="68"/>
      <c r="B10" s="69"/>
      <c r="C10" s="77"/>
      <c r="D10" s="2"/>
      <c r="E10" s="2"/>
      <c r="F10" s="2"/>
      <c r="G10" s="3"/>
      <c r="H10" s="71" t="s">
        <v>176</v>
      </c>
      <c r="I10" s="2"/>
      <c r="J10" s="2"/>
      <c r="K10" s="2"/>
      <c r="L10" s="2"/>
      <c r="M10" s="2"/>
      <c r="N10" s="3"/>
      <c r="O10" s="69"/>
    </row>
    <row r="11" ht="12.75" customHeight="1">
      <c r="A11" s="68"/>
      <c r="B11" s="57" t="s">
        <v>177</v>
      </c>
      <c r="C11" s="58" t="s">
        <v>178</v>
      </c>
      <c r="D11" s="59" t="s">
        <v>60</v>
      </c>
      <c r="E11" s="79" t="s">
        <v>61</v>
      </c>
      <c r="F11" s="61" t="s">
        <v>19</v>
      </c>
      <c r="G11" s="62" t="s">
        <v>179</v>
      </c>
      <c r="H11" s="63" t="s">
        <v>63</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1.5</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1.5</v>
      </c>
      <c r="N11" s="91" t="s">
        <v>64</v>
      </c>
      <c r="O11" s="93" t="s">
        <v>180</v>
      </c>
    </row>
    <row r="12" ht="111.75" customHeight="1">
      <c r="A12" s="69"/>
      <c r="B12" s="69"/>
      <c r="C12" s="70"/>
      <c r="D12" s="2"/>
      <c r="E12" s="2"/>
      <c r="F12" s="2"/>
      <c r="G12" s="3"/>
      <c r="H12" s="71" t="s">
        <v>181</v>
      </c>
      <c r="I12" s="2"/>
      <c r="J12" s="2"/>
      <c r="K12" s="2"/>
      <c r="L12" s="2"/>
      <c r="M12" s="2"/>
      <c r="N12" s="3"/>
      <c r="O12" s="69"/>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A1:G1"/>
    <mergeCell ref="H1:K1"/>
    <mergeCell ref="L1:O1"/>
    <mergeCell ref="A2:B2"/>
    <mergeCell ref="A3:A12"/>
    <mergeCell ref="B3:B4"/>
    <mergeCell ref="B5:B6"/>
  </mergeCells>
  <dataValidations>
    <dataValidation type="list" allowBlank="1" showErrorMessage="1" sqref="E3 E5">
      <formula1>"Ongoing,Validated,Not validated,To evaluate"</formula1>
    </dataValidation>
    <dataValidation type="list" allowBlank="1" showErrorMessage="1" sqref="E7 E9 E11">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182</v>
      </c>
      <c r="B1" s="2"/>
      <c r="C1" s="2"/>
      <c r="D1" s="2"/>
      <c r="E1" s="2"/>
      <c r="F1" s="2"/>
      <c r="G1" s="3"/>
      <c r="H1" s="48" t="s">
        <v>183</v>
      </c>
      <c r="I1" s="2"/>
      <c r="J1" s="2"/>
      <c r="K1" s="3"/>
      <c r="L1" s="49" t="s">
        <v>184</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185</v>
      </c>
      <c r="P2" s="55"/>
      <c r="Q2" s="55"/>
      <c r="R2" s="55"/>
      <c r="S2" s="55"/>
      <c r="T2" s="55"/>
      <c r="U2" s="55"/>
      <c r="V2" s="55"/>
      <c r="W2" s="55"/>
      <c r="X2" s="55"/>
      <c r="Y2" s="55"/>
      <c r="Z2" s="55"/>
      <c r="AA2" s="55"/>
      <c r="AB2" s="55"/>
      <c r="AC2" s="55"/>
      <c r="AD2" s="55"/>
      <c r="AE2" s="55"/>
      <c r="AF2" s="55"/>
      <c r="AG2" s="55"/>
      <c r="AH2" s="55"/>
      <c r="AI2" s="55"/>
    </row>
    <row r="3" ht="12.75" customHeight="1">
      <c r="A3" s="56" t="s">
        <v>186</v>
      </c>
      <c r="B3" s="94" t="s">
        <v>187</v>
      </c>
      <c r="C3" s="95" t="s">
        <v>188</v>
      </c>
      <c r="D3" s="96" t="s">
        <v>60</v>
      </c>
      <c r="E3" s="79" t="s">
        <v>61</v>
      </c>
      <c r="F3" s="61" t="s">
        <v>19</v>
      </c>
      <c r="G3" s="62" t="s">
        <v>189</v>
      </c>
      <c r="H3" s="64" t="s">
        <v>63</v>
      </c>
      <c r="I3" s="63"/>
      <c r="J3" s="63"/>
      <c r="K3" s="63"/>
      <c r="L3" s="97" t="s">
        <v>85</v>
      </c>
      <c r="M3" s="97" t="s">
        <v>85</v>
      </c>
      <c r="N3" s="91" t="s">
        <v>64</v>
      </c>
      <c r="O3" s="67" t="s">
        <v>190</v>
      </c>
    </row>
    <row r="4" ht="57.75" customHeight="1">
      <c r="A4" s="68"/>
      <c r="B4" s="69"/>
      <c r="C4" s="70"/>
      <c r="D4" s="2"/>
      <c r="E4" s="2"/>
      <c r="F4" s="2"/>
      <c r="G4" s="3"/>
      <c r="H4" s="71" t="s">
        <v>191</v>
      </c>
      <c r="I4" s="2"/>
      <c r="J4" s="2"/>
      <c r="K4" s="2"/>
      <c r="L4" s="2"/>
      <c r="M4" s="2"/>
      <c r="N4" s="3"/>
      <c r="O4" s="69"/>
    </row>
    <row r="5" ht="12.75" customHeight="1">
      <c r="A5" s="68"/>
      <c r="B5" s="98" t="s">
        <v>192</v>
      </c>
      <c r="C5" s="99" t="s">
        <v>193</v>
      </c>
      <c r="D5" s="100" t="s">
        <v>75</v>
      </c>
      <c r="E5" s="74" t="s">
        <v>194</v>
      </c>
      <c r="F5" s="75" t="s">
        <v>19</v>
      </c>
      <c r="G5" s="76" t="s">
        <v>195</v>
      </c>
      <c r="H5" s="64" t="s">
        <v>63</v>
      </c>
      <c r="I5" s="101" t="s">
        <v>196</v>
      </c>
      <c r="J5" s="101" t="s">
        <v>197</v>
      </c>
      <c r="K5" s="101" t="s">
        <v>198</v>
      </c>
      <c r="L5" s="97" t="s">
        <v>199</v>
      </c>
      <c r="M5" s="97" t="s">
        <v>200</v>
      </c>
      <c r="N5" s="91" t="s">
        <v>64</v>
      </c>
      <c r="O5" s="67" t="s">
        <v>201</v>
      </c>
    </row>
    <row r="6" ht="36.0" customHeight="1">
      <c r="A6" s="68"/>
      <c r="B6" s="69"/>
      <c r="C6" s="77"/>
      <c r="D6" s="2"/>
      <c r="E6" s="2"/>
      <c r="F6" s="2"/>
      <c r="G6" s="3"/>
      <c r="H6" s="71" t="s">
        <v>202</v>
      </c>
      <c r="I6" s="2"/>
      <c r="J6" s="2"/>
      <c r="K6" s="2"/>
      <c r="L6" s="2"/>
      <c r="M6" s="2"/>
      <c r="N6" s="3"/>
      <c r="O6" s="69"/>
    </row>
    <row r="7" ht="12.75" customHeight="1">
      <c r="A7" s="68"/>
      <c r="B7" s="57" t="s">
        <v>203</v>
      </c>
      <c r="C7" s="58" t="s">
        <v>204</v>
      </c>
      <c r="D7" s="82" t="s">
        <v>102</v>
      </c>
      <c r="E7" s="102" t="s">
        <v>103</v>
      </c>
      <c r="F7" s="61" t="s">
        <v>19</v>
      </c>
      <c r="G7" s="103"/>
      <c r="H7" s="63" t="s">
        <v>82</v>
      </c>
      <c r="I7" s="101"/>
      <c r="J7" s="101"/>
      <c r="K7" s="64"/>
      <c r="L7" s="65">
        <f>IFS(D7="Top priority",IFS(E7="Validated",1.5,E7="Ongoing",0,E7="Not validated",0,E7="Not applicable",0,E7="To evaluate",0),D7="Recommanded",IFS(E7="Validated",1.25,E7="Ongoing",0,E7="Not validated",0,E7="Not applicable",0,E7="To evaluate",0),D7="Moderate",IFS(E7="Validated",1,E7="Ongoing",0,E7="Not validated",0,E7="Not applicable",0,E7="To evaluate",0))</f>
        <v>0</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v>
      </c>
      <c r="N7" s="66" t="s">
        <v>205</v>
      </c>
      <c r="O7" s="85" t="s">
        <v>206</v>
      </c>
    </row>
    <row r="8" ht="105.0" customHeight="1">
      <c r="A8" s="68"/>
      <c r="B8" s="69"/>
      <c r="C8" s="70"/>
      <c r="D8" s="2"/>
      <c r="E8" s="2"/>
      <c r="F8" s="2"/>
      <c r="G8" s="3"/>
      <c r="H8" s="86" t="s">
        <v>207</v>
      </c>
      <c r="I8" s="2"/>
      <c r="J8" s="2"/>
      <c r="K8" s="2"/>
      <c r="L8" s="2"/>
      <c r="M8" s="2"/>
      <c r="N8" s="3"/>
      <c r="O8" s="69"/>
    </row>
    <row r="9" ht="12.75" customHeight="1">
      <c r="A9" s="68"/>
      <c r="B9" s="98" t="s">
        <v>208</v>
      </c>
      <c r="C9" s="99" t="s">
        <v>209</v>
      </c>
      <c r="D9" s="96" t="s">
        <v>60</v>
      </c>
      <c r="E9" s="74" t="s">
        <v>61</v>
      </c>
      <c r="F9" s="75" t="s">
        <v>19</v>
      </c>
      <c r="G9" s="76" t="s">
        <v>210</v>
      </c>
      <c r="H9" s="64" t="s">
        <v>82</v>
      </c>
      <c r="I9" s="63"/>
      <c r="J9" s="63"/>
      <c r="K9" s="63"/>
      <c r="L9" s="97" t="s">
        <v>85</v>
      </c>
      <c r="M9" s="97" t="s">
        <v>85</v>
      </c>
      <c r="N9" s="91" t="s">
        <v>64</v>
      </c>
      <c r="O9" s="67" t="s">
        <v>211</v>
      </c>
    </row>
    <row r="10" ht="145.5" customHeight="1">
      <c r="A10" s="68"/>
      <c r="B10" s="69"/>
      <c r="C10" s="77"/>
      <c r="D10" s="2"/>
      <c r="E10" s="2"/>
      <c r="F10" s="2"/>
      <c r="G10" s="3"/>
      <c r="H10" s="104" t="s">
        <v>212</v>
      </c>
      <c r="I10" s="2"/>
      <c r="J10" s="2"/>
      <c r="K10" s="2"/>
      <c r="L10" s="2"/>
      <c r="M10" s="2"/>
      <c r="N10" s="3"/>
      <c r="O10" s="69"/>
    </row>
    <row r="11" ht="12.75" customHeight="1">
      <c r="A11" s="68"/>
      <c r="B11" s="57" t="s">
        <v>213</v>
      </c>
      <c r="C11" s="58" t="s">
        <v>214</v>
      </c>
      <c r="D11" s="82" t="s">
        <v>102</v>
      </c>
      <c r="E11" s="102" t="s">
        <v>103</v>
      </c>
      <c r="F11" s="61" t="s">
        <v>19</v>
      </c>
      <c r="G11" s="103"/>
      <c r="H11" s="63" t="s">
        <v>82</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0</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v>
      </c>
      <c r="N11" s="66" t="s">
        <v>215</v>
      </c>
      <c r="O11" s="85" t="s">
        <v>216</v>
      </c>
    </row>
    <row r="12" ht="90.75" customHeight="1">
      <c r="A12" s="68"/>
      <c r="B12" s="69"/>
      <c r="C12" s="70"/>
      <c r="D12" s="2"/>
      <c r="E12" s="2"/>
      <c r="F12" s="2"/>
      <c r="G12" s="3"/>
      <c r="H12" s="86"/>
      <c r="I12" s="2"/>
      <c r="J12" s="2"/>
      <c r="K12" s="2"/>
      <c r="L12" s="2"/>
      <c r="M12" s="2"/>
      <c r="N12" s="3"/>
      <c r="O12" s="69"/>
    </row>
    <row r="13" ht="12.75" customHeight="1">
      <c r="A13" s="68"/>
      <c r="B13" s="72" t="s">
        <v>217</v>
      </c>
      <c r="C13" s="73" t="s">
        <v>218</v>
      </c>
      <c r="D13" s="82" t="s">
        <v>102</v>
      </c>
      <c r="E13" s="83" t="s">
        <v>103</v>
      </c>
      <c r="F13" s="75" t="s">
        <v>19</v>
      </c>
      <c r="G13" s="84"/>
      <c r="H13" s="63" t="s">
        <v>82</v>
      </c>
      <c r="I13" s="63"/>
      <c r="J13" s="63"/>
      <c r="K13" s="63"/>
      <c r="L13" s="65">
        <f>IFS(D13="Top priority",IFS(E13="Validated",1.5,E13="Ongoing",0,E13="Not validated",0,E13="Not applicable",0,E13="To evaluate",0),D13="Recommanded",IFS(E13="Validated",1.25,E13="Ongoing",0,E13="Not validated",0,E13="Not applicable",0,E13="To evaluate",0),D13="Moderate",IFS(E13="Validated",1,E13="Ongoing",0,E13="Not validated",0,E13="Not applicable",0,E13="To evaluate",0))</f>
        <v>0</v>
      </c>
      <c r="M13" s="65">
        <f>IFS(D13="Top priority",IFS(E13="Validated",1.5,E13="Ongoing",1.5,E13="Not validated",1.5,E13="Not applicable",0,E13="To evaluate",1.5),D13="Recommanded",IFS(E13="Validated",1.25,E13="Ongoing",1.25,E13="Not validated",1.25,E13="Not applicable",0,E13="To evaluate",1.25),D13="Moderate",IFS(E13="Validated",1,E13="Ongoing",1,E13="Not validated",1,E13="Not applicable",0,E13="To evaluate",1))</f>
        <v>1</v>
      </c>
      <c r="N13" s="66" t="s">
        <v>219</v>
      </c>
      <c r="O13" s="85" t="s">
        <v>220</v>
      </c>
    </row>
    <row r="14" ht="45.75" customHeight="1">
      <c r="A14" s="68"/>
      <c r="B14" s="69"/>
      <c r="C14" s="77"/>
      <c r="D14" s="2"/>
      <c r="E14" s="2"/>
      <c r="F14" s="2"/>
      <c r="G14" s="3"/>
      <c r="H14" s="86"/>
      <c r="I14" s="2"/>
      <c r="J14" s="2"/>
      <c r="K14" s="2"/>
      <c r="L14" s="2"/>
      <c r="M14" s="2"/>
      <c r="N14" s="3"/>
      <c r="O14" s="69"/>
    </row>
    <row r="15" ht="12.75" customHeight="1">
      <c r="A15" s="68"/>
      <c r="B15" s="57" t="s">
        <v>221</v>
      </c>
      <c r="C15" s="58" t="s">
        <v>222</v>
      </c>
      <c r="D15" s="82" t="s">
        <v>102</v>
      </c>
      <c r="E15" s="102" t="s">
        <v>103</v>
      </c>
      <c r="F15" s="61" t="s">
        <v>19</v>
      </c>
      <c r="G15" s="103"/>
      <c r="H15" s="63" t="s">
        <v>82</v>
      </c>
      <c r="I15" s="63"/>
      <c r="J15" s="63"/>
      <c r="K15" s="63"/>
      <c r="L15" s="65">
        <f>IFS(D15="Top priority",IFS(E15="Validated",1.5,E15="Ongoing",0,E15="Not validated",0,E15="Not applicable",0,E15="To evaluate",0),D15="Recommanded",IFS(E15="Validated",1.25,E15="Ongoing",0,E15="Not validated",0,E15="Not applicable",0,E15="To evaluate",0),D15="Moderate",IFS(E15="Validated",1,E15="Ongoing",0,E15="Not validated",0,E15="Not applicable",0,E15="To evaluate",0))</f>
        <v>0</v>
      </c>
      <c r="M15" s="65">
        <f>IFS(D15="Top priority",IFS(E15="Validated",1.5,E15="Ongoing",1.5,E15="Not validated",1.5,E15="Not applicable",0,E15="To evaluate",1.5),D15="Recommanded",IFS(E15="Validated",1.25,E15="Ongoing",1.25,E15="Not validated",1.25,E15="Not applicable",0,E15="To evaluate",1.25),D15="Moderate",IFS(E15="Validated",1,E15="Ongoing",1,E15="Not validated",1,E15="Not applicable",0,E15="To evaluate",1))</f>
        <v>1</v>
      </c>
      <c r="N15" s="66" t="s">
        <v>223</v>
      </c>
      <c r="O15" s="85" t="s">
        <v>224</v>
      </c>
    </row>
    <row r="16" ht="34.5" customHeight="1">
      <c r="A16" s="69"/>
      <c r="B16" s="69"/>
      <c r="C16" s="70"/>
      <c r="D16" s="2"/>
      <c r="E16" s="2"/>
      <c r="F16" s="2"/>
      <c r="G16" s="3"/>
      <c r="H16" s="86" t="s">
        <v>225</v>
      </c>
      <c r="I16" s="2"/>
      <c r="J16" s="2"/>
      <c r="K16" s="2"/>
      <c r="L16" s="2"/>
      <c r="M16" s="2"/>
      <c r="N16" s="3"/>
      <c r="O16" s="69"/>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B15:B16"/>
    <mergeCell ref="O15:O16"/>
    <mergeCell ref="C16:G16"/>
    <mergeCell ref="H16:N16"/>
    <mergeCell ref="A1:G1"/>
    <mergeCell ref="H1:K1"/>
    <mergeCell ref="L1:O1"/>
    <mergeCell ref="A2:B2"/>
    <mergeCell ref="A3:A16"/>
    <mergeCell ref="B3:B4"/>
    <mergeCell ref="B5:B6"/>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B13:B14"/>
    <mergeCell ref="O13:O14"/>
    <mergeCell ref="C14:G14"/>
    <mergeCell ref="H14:N14"/>
  </mergeCells>
  <dataValidations>
    <dataValidation type="list" allowBlank="1" showErrorMessage="1" sqref="E3 E5 E7 E9 E11 E13 E15">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226</v>
      </c>
      <c r="B1" s="2"/>
      <c r="C1" s="2"/>
      <c r="D1" s="2"/>
      <c r="E1" s="2"/>
      <c r="F1" s="2"/>
      <c r="G1" s="3"/>
      <c r="H1" s="48" t="s">
        <v>227</v>
      </c>
      <c r="I1" s="2"/>
      <c r="J1" s="2"/>
      <c r="K1" s="3"/>
      <c r="L1" s="49" t="s">
        <v>228</v>
      </c>
      <c r="M1" s="2"/>
      <c r="N1" s="2"/>
      <c r="O1" s="3"/>
    </row>
    <row r="2" ht="30.0" customHeight="1">
      <c r="A2" s="50" t="s">
        <v>43</v>
      </c>
      <c r="B2" s="3"/>
      <c r="C2" s="51" t="s">
        <v>44</v>
      </c>
      <c r="D2" s="105" t="s">
        <v>45</v>
      </c>
      <c r="E2" s="51" t="s">
        <v>46</v>
      </c>
      <c r="F2" s="53" t="s">
        <v>47</v>
      </c>
      <c r="G2" s="52" t="s">
        <v>48</v>
      </c>
      <c r="H2" s="105" t="s">
        <v>49</v>
      </c>
      <c r="I2" s="51" t="s">
        <v>50</v>
      </c>
      <c r="J2" s="51" t="s">
        <v>51</v>
      </c>
      <c r="K2" s="51" t="s">
        <v>52</v>
      </c>
      <c r="L2" s="52" t="s">
        <v>53</v>
      </c>
      <c r="M2" s="51" t="s">
        <v>54</v>
      </c>
      <c r="N2" s="51" t="s">
        <v>55</v>
      </c>
      <c r="O2" s="54" t="s">
        <v>229</v>
      </c>
      <c r="P2" s="55"/>
      <c r="Q2" s="55"/>
      <c r="R2" s="55"/>
      <c r="S2" s="55"/>
      <c r="T2" s="55"/>
      <c r="U2" s="55"/>
      <c r="V2" s="55"/>
      <c r="W2" s="55"/>
      <c r="X2" s="55"/>
      <c r="Y2" s="55"/>
      <c r="Z2" s="55"/>
      <c r="AA2" s="55"/>
      <c r="AB2" s="55"/>
      <c r="AC2" s="55"/>
      <c r="AD2" s="55"/>
      <c r="AE2" s="55"/>
      <c r="AF2" s="55"/>
      <c r="AG2" s="55"/>
      <c r="AH2" s="55"/>
      <c r="AI2" s="55"/>
    </row>
    <row r="3" ht="12.75" customHeight="1">
      <c r="A3" s="56" t="s">
        <v>230</v>
      </c>
      <c r="B3" s="57" t="s">
        <v>231</v>
      </c>
      <c r="C3" s="58" t="s">
        <v>232</v>
      </c>
      <c r="D3" s="59" t="s">
        <v>60</v>
      </c>
      <c r="E3" s="79" t="s">
        <v>61</v>
      </c>
      <c r="F3" s="61" t="s">
        <v>19</v>
      </c>
      <c r="G3" s="62" t="s">
        <v>233</v>
      </c>
      <c r="H3" s="63" t="s">
        <v>70</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1.5</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1.5</v>
      </c>
      <c r="N3" s="91" t="s">
        <v>64</v>
      </c>
      <c r="O3" s="67" t="s">
        <v>234</v>
      </c>
    </row>
    <row r="4" ht="26.25" customHeight="1">
      <c r="A4" s="68"/>
      <c r="B4" s="69"/>
      <c r="C4" s="70"/>
      <c r="D4" s="2"/>
      <c r="E4" s="2"/>
      <c r="F4" s="2"/>
      <c r="G4" s="3"/>
      <c r="H4" s="71" t="s">
        <v>235</v>
      </c>
      <c r="I4" s="2"/>
      <c r="J4" s="2"/>
      <c r="K4" s="2"/>
      <c r="L4" s="2"/>
      <c r="M4" s="2"/>
      <c r="N4" s="3"/>
      <c r="O4" s="69"/>
    </row>
    <row r="5" ht="12.75" customHeight="1">
      <c r="A5" s="68"/>
      <c r="B5" s="72" t="s">
        <v>236</v>
      </c>
      <c r="C5" s="73" t="s">
        <v>237</v>
      </c>
      <c r="D5" s="59" t="s">
        <v>60</v>
      </c>
      <c r="E5" s="74" t="s">
        <v>61</v>
      </c>
      <c r="F5" s="75" t="s">
        <v>19</v>
      </c>
      <c r="G5" s="76" t="s">
        <v>238</v>
      </c>
      <c r="H5" s="63" t="s">
        <v>82</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1.5</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1.5</v>
      </c>
      <c r="N5" s="91" t="s">
        <v>64</v>
      </c>
      <c r="O5" s="67" t="s">
        <v>239</v>
      </c>
    </row>
    <row r="6" ht="31.5" customHeight="1">
      <c r="A6" s="68"/>
      <c r="B6" s="69"/>
      <c r="C6" s="77"/>
      <c r="D6" s="2"/>
      <c r="E6" s="2"/>
      <c r="F6" s="2"/>
      <c r="G6" s="3"/>
      <c r="H6" s="71" t="s">
        <v>240</v>
      </c>
      <c r="I6" s="2"/>
      <c r="J6" s="2"/>
      <c r="K6" s="2"/>
      <c r="L6" s="2"/>
      <c r="M6" s="2"/>
      <c r="N6" s="3"/>
      <c r="O6" s="69"/>
    </row>
    <row r="7" ht="12.75" customHeight="1">
      <c r="A7" s="68"/>
      <c r="B7" s="57" t="s">
        <v>241</v>
      </c>
      <c r="C7" s="58" t="s">
        <v>242</v>
      </c>
      <c r="D7" s="78" t="s">
        <v>75</v>
      </c>
      <c r="E7" s="79" t="s">
        <v>194</v>
      </c>
      <c r="F7" s="61" t="s">
        <v>19</v>
      </c>
      <c r="G7" s="62" t="s">
        <v>243</v>
      </c>
      <c r="H7" s="63" t="s">
        <v>82</v>
      </c>
      <c r="I7" s="64" t="s">
        <v>244</v>
      </c>
      <c r="J7" s="64" t="s">
        <v>245</v>
      </c>
      <c r="K7" s="64" t="s">
        <v>246</v>
      </c>
      <c r="L7" s="65">
        <f>IFS(D7="Top priority",IFS(E7="Validated",1.5,E7="Ongoing",0,E7="Not validated",0,E7="Not applicable",0,E7="To evaluate",0),D7="Recommanded",IFS(E7="Validated",1.25,E7="Ongoing",0,E7="Not validated",0,E7="Not applicable",0,E7="To evaluate",0),D7="Moderate",IFS(E7="Validated",1,E7="Ongoing",0,E7="Not validated",0,E7="Not applicable",0,E7="To evaluate",0))</f>
        <v>0</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1.25</v>
      </c>
      <c r="N7" s="91" t="s">
        <v>64</v>
      </c>
      <c r="O7" s="67" t="s">
        <v>247</v>
      </c>
    </row>
    <row r="8" ht="49.5" customHeight="1">
      <c r="A8" s="68"/>
      <c r="B8" s="69"/>
      <c r="C8" s="70"/>
      <c r="D8" s="2"/>
      <c r="E8" s="2"/>
      <c r="F8" s="2"/>
      <c r="G8" s="3"/>
      <c r="H8" s="71" t="s">
        <v>248</v>
      </c>
      <c r="I8" s="2"/>
      <c r="J8" s="2"/>
      <c r="K8" s="2"/>
      <c r="L8" s="2"/>
      <c r="M8" s="2"/>
      <c r="N8" s="3"/>
      <c r="O8" s="69"/>
    </row>
    <row r="9" ht="12.75" customHeight="1">
      <c r="A9" s="68"/>
      <c r="B9" s="72" t="s">
        <v>249</v>
      </c>
      <c r="C9" s="73" t="s">
        <v>250</v>
      </c>
      <c r="D9" s="78" t="s">
        <v>75</v>
      </c>
      <c r="E9" s="106" t="s">
        <v>251</v>
      </c>
      <c r="F9" s="75" t="s">
        <v>19</v>
      </c>
      <c r="G9" s="76" t="s">
        <v>252</v>
      </c>
      <c r="H9" s="63" t="s">
        <v>70</v>
      </c>
      <c r="I9" s="64" t="s">
        <v>253</v>
      </c>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0</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1.25</v>
      </c>
      <c r="N9" s="91" t="s">
        <v>64</v>
      </c>
      <c r="O9" s="67" t="s">
        <v>254</v>
      </c>
    </row>
    <row r="10" ht="30.75" customHeight="1">
      <c r="A10" s="68"/>
      <c r="B10" s="69"/>
      <c r="C10" s="77"/>
      <c r="D10" s="2"/>
      <c r="E10" s="2"/>
      <c r="F10" s="2"/>
      <c r="G10" s="3"/>
      <c r="H10" s="71" t="s">
        <v>255</v>
      </c>
      <c r="I10" s="2"/>
      <c r="J10" s="2"/>
      <c r="K10" s="2"/>
      <c r="L10" s="2"/>
      <c r="M10" s="2"/>
      <c r="N10" s="3"/>
      <c r="O10" s="69"/>
    </row>
    <row r="11" ht="12.75" customHeight="1">
      <c r="A11" s="68"/>
      <c r="B11" s="57" t="s">
        <v>256</v>
      </c>
      <c r="C11" s="58" t="s">
        <v>257</v>
      </c>
      <c r="D11" s="82" t="s">
        <v>102</v>
      </c>
      <c r="E11" s="102" t="s">
        <v>103</v>
      </c>
      <c r="F11" s="61" t="s">
        <v>19</v>
      </c>
      <c r="G11" s="103"/>
      <c r="H11" s="63" t="s">
        <v>82</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0</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v>
      </c>
      <c r="N11" s="66" t="s">
        <v>64</v>
      </c>
      <c r="O11" s="107" t="s">
        <v>258</v>
      </c>
    </row>
    <row r="12" ht="51.75" customHeight="1">
      <c r="A12" s="68"/>
      <c r="B12" s="69"/>
      <c r="C12" s="70"/>
      <c r="D12" s="2"/>
      <c r="E12" s="2"/>
      <c r="F12" s="2"/>
      <c r="G12" s="3"/>
      <c r="H12" s="86" t="s">
        <v>259</v>
      </c>
      <c r="I12" s="2"/>
      <c r="J12" s="2"/>
      <c r="K12" s="2"/>
      <c r="L12" s="2"/>
      <c r="M12" s="2"/>
      <c r="N12" s="3"/>
      <c r="O12" s="69"/>
    </row>
    <row r="13" ht="12.75" customHeight="1">
      <c r="A13" s="68"/>
      <c r="B13" s="72" t="s">
        <v>260</v>
      </c>
      <c r="C13" s="73" t="s">
        <v>261</v>
      </c>
      <c r="D13" s="78" t="s">
        <v>75</v>
      </c>
      <c r="E13" s="74" t="s">
        <v>61</v>
      </c>
      <c r="F13" s="75" t="s">
        <v>19</v>
      </c>
      <c r="G13" s="76" t="s">
        <v>262</v>
      </c>
      <c r="H13" s="63" t="s">
        <v>70</v>
      </c>
      <c r="I13" s="63"/>
      <c r="J13" s="63"/>
      <c r="K13" s="63"/>
      <c r="L13" s="65">
        <f>IFS(D13="Top priority",IFS(E13="Validated",1.5,E13="Ongoing",0,E13="Not validated",0,E13="Not applicable",0,E13="To evaluate",0),D13="Recommanded",IFS(E13="Validated",1.25,E13="Ongoing",0,E13="Not validated",0,E13="Not applicable",0,E13="To evaluate",0),D13="Moderate",IFS(E13="Validated",1,E13="Ongoing",0,E13="Not validated",0,E13="Not applicable",0,E13="To evaluate",0))</f>
        <v>1.25</v>
      </c>
      <c r="M13" s="65">
        <f>IFS(D13="Top priority",IFS(E13="Validated",1.5,E13="Ongoing",1.5,E13="Not validated",1.5,E13="Not applicable",0,E13="To evaluate",1.5),D13="Recommanded",IFS(E13="Validated",1.25,E13="Ongoing",1.25,E13="Not validated",1.25,E13="Not applicable",0,E13="To evaluate",1.25),D13="Moderate",IFS(E13="Validated",1,E13="Ongoing",1,E13="Not validated",1,E13="Not applicable",0,E13="To evaluate",1))</f>
        <v>1.25</v>
      </c>
      <c r="N13" s="91" t="s">
        <v>64</v>
      </c>
      <c r="O13" s="67" t="s">
        <v>263</v>
      </c>
    </row>
    <row r="14" ht="40.5" customHeight="1">
      <c r="A14" s="68"/>
      <c r="B14" s="69"/>
      <c r="C14" s="77"/>
      <c r="D14" s="2"/>
      <c r="E14" s="2"/>
      <c r="F14" s="2"/>
      <c r="G14" s="3"/>
      <c r="H14" s="104" t="s">
        <v>264</v>
      </c>
      <c r="I14" s="2"/>
      <c r="J14" s="2"/>
      <c r="K14" s="2"/>
      <c r="L14" s="2"/>
      <c r="M14" s="2"/>
      <c r="N14" s="3"/>
      <c r="O14" s="69"/>
    </row>
    <row r="15" ht="12.75" customHeight="1">
      <c r="A15" s="68"/>
      <c r="B15" s="57" t="s">
        <v>265</v>
      </c>
      <c r="C15" s="58" t="s">
        <v>266</v>
      </c>
      <c r="D15" s="82" t="s">
        <v>102</v>
      </c>
      <c r="E15" s="102" t="s">
        <v>103</v>
      </c>
      <c r="F15" s="61" t="s">
        <v>19</v>
      </c>
      <c r="G15" s="103"/>
      <c r="H15" s="63" t="s">
        <v>70</v>
      </c>
      <c r="I15" s="63"/>
      <c r="J15" s="63"/>
      <c r="K15" s="63"/>
      <c r="L15" s="65">
        <f>IFS(D15="Top priority",IFS(E15="Validated",1.5,E15="Ongoing",0,E15="Not validated",0,E15="Not applicable",0,E15="To evaluate",0),D15="Recommanded",IFS(E15="Validated",1.25,E15="Ongoing",0,E15="Not validated",0,E15="Not applicable",0,E15="To evaluate",0),D15="Moderate",IFS(E15="Validated",1,E15="Ongoing",0,E15="Not validated",0,E15="Not applicable",0,E15="To evaluate",0))</f>
        <v>0</v>
      </c>
      <c r="M15" s="65">
        <f>IFS(D15="Top priority",IFS(E15="Validated",1.5,E15="Ongoing",1.5,E15="Not validated",1.5,E15="Not applicable",0,E15="To evaluate",1.5),D15="Recommanded",IFS(E15="Validated",1.25,E15="Ongoing",1.25,E15="Not validated",1.25,E15="Not applicable",0,E15="To evaluate",1.25),D15="Moderate",IFS(E15="Validated",1,E15="Ongoing",1,E15="Not validated",1,E15="Not applicable",0,E15="To evaluate",1))</f>
        <v>1</v>
      </c>
      <c r="N15" s="66" t="s">
        <v>64</v>
      </c>
      <c r="O15" s="85" t="s">
        <v>267</v>
      </c>
    </row>
    <row r="16" ht="42.75" customHeight="1">
      <c r="A16" s="68"/>
      <c r="B16" s="69"/>
      <c r="C16" s="70"/>
      <c r="D16" s="2"/>
      <c r="E16" s="2"/>
      <c r="F16" s="2"/>
      <c r="G16" s="3"/>
      <c r="H16" s="86" t="s">
        <v>268</v>
      </c>
      <c r="I16" s="2"/>
      <c r="J16" s="2"/>
      <c r="K16" s="2"/>
      <c r="L16" s="2"/>
      <c r="M16" s="2"/>
      <c r="N16" s="3"/>
      <c r="O16" s="69"/>
    </row>
    <row r="17" ht="12.75" customHeight="1">
      <c r="A17" s="68"/>
      <c r="B17" s="72" t="s">
        <v>269</v>
      </c>
      <c r="C17" s="73" t="s">
        <v>270</v>
      </c>
      <c r="D17" s="82" t="s">
        <v>102</v>
      </c>
      <c r="E17" s="83" t="s">
        <v>103</v>
      </c>
      <c r="F17" s="75" t="s">
        <v>19</v>
      </c>
      <c r="G17" s="84"/>
      <c r="H17" s="63" t="s">
        <v>70</v>
      </c>
      <c r="I17" s="63"/>
      <c r="J17" s="63"/>
      <c r="K17" s="63"/>
      <c r="L17" s="65">
        <f>IFS(D17="Top priority",IFS(E17="Validated",1.5,E17="Ongoing",0,E17="Not validated",0,E17="Not applicable",0,E17="To evaluate",0),D17="Recommanded",IFS(E17="Validated",1.25,E17="Ongoing",0,E17="Not validated",0,E17="Not applicable",0,E17="To evaluate",0),D17="Moderate",IFS(E17="Validated",1,E17="Ongoing",0,E17="Not validated",0,E17="Not applicable",0,E17="To evaluate",0))</f>
        <v>0</v>
      </c>
      <c r="M17" s="65">
        <f>IFS(D17="Top priority",IFS(E17="Validated",1.5,E17="Ongoing",1.5,E17="Not validated",1.5,E17="Not applicable",0,E17="To evaluate",1.5),D17="Recommanded",IFS(E17="Validated",1.25,E17="Ongoing",1.25,E17="Not validated",1.25,E17="Not applicable",0,E17="To evaluate",1.25),D17="Moderate",IFS(E17="Validated",1,E17="Ongoing",1,E17="Not validated",1,E17="Not applicable",0,E17="To evaluate",1))</f>
        <v>1</v>
      </c>
      <c r="N17" s="66" t="s">
        <v>271</v>
      </c>
      <c r="O17" s="85" t="s">
        <v>272</v>
      </c>
    </row>
    <row r="18" ht="41.25" customHeight="1">
      <c r="A18" s="69"/>
      <c r="B18" s="69"/>
      <c r="C18" s="77"/>
      <c r="D18" s="2"/>
      <c r="E18" s="2"/>
      <c r="F18" s="2"/>
      <c r="G18" s="3"/>
      <c r="H18" s="86"/>
      <c r="I18" s="2"/>
      <c r="J18" s="2"/>
      <c r="K18" s="2"/>
      <c r="L18" s="2"/>
      <c r="M18" s="2"/>
      <c r="N18" s="3"/>
      <c r="O18" s="69"/>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7">
    <mergeCell ref="B15:B16"/>
    <mergeCell ref="O15:O16"/>
    <mergeCell ref="C16:G16"/>
    <mergeCell ref="H16:N16"/>
    <mergeCell ref="B17:B18"/>
    <mergeCell ref="O17:O18"/>
    <mergeCell ref="C18:G18"/>
    <mergeCell ref="H18:N18"/>
    <mergeCell ref="A1:G1"/>
    <mergeCell ref="H1:K1"/>
    <mergeCell ref="L1:O1"/>
    <mergeCell ref="A2:B2"/>
    <mergeCell ref="A3:A18"/>
    <mergeCell ref="B3:B4"/>
    <mergeCell ref="B5:B6"/>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B13:B14"/>
    <mergeCell ref="O13:O14"/>
    <mergeCell ref="C14:G14"/>
    <mergeCell ref="H14:N14"/>
  </mergeCells>
  <dataValidations>
    <dataValidation type="list" allowBlank="1" showErrorMessage="1" sqref="E3 E11 E13 E15">
      <formula1>"Ongoing,Validated,Not validated,To evaluate"</formula1>
    </dataValidation>
    <dataValidation type="list" allowBlank="1" showErrorMessage="1" sqref="E5 E7 E9 E17">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273</v>
      </c>
      <c r="B1" s="2"/>
      <c r="C1" s="2"/>
      <c r="D1" s="2"/>
      <c r="E1" s="2"/>
      <c r="F1" s="2"/>
      <c r="G1" s="3"/>
      <c r="H1" s="48" t="s">
        <v>274</v>
      </c>
      <c r="I1" s="2"/>
      <c r="J1" s="2"/>
      <c r="K1" s="3"/>
      <c r="L1" s="49" t="s">
        <v>275</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276</v>
      </c>
      <c r="P2" s="55"/>
      <c r="Q2" s="55"/>
      <c r="R2" s="55"/>
      <c r="S2" s="55"/>
      <c r="T2" s="55"/>
      <c r="U2" s="55"/>
      <c r="V2" s="55"/>
      <c r="W2" s="55"/>
      <c r="X2" s="55"/>
      <c r="Y2" s="55"/>
      <c r="Z2" s="55"/>
      <c r="AA2" s="55"/>
      <c r="AB2" s="55"/>
      <c r="AC2" s="55"/>
      <c r="AD2" s="55"/>
      <c r="AE2" s="55"/>
      <c r="AF2" s="55"/>
      <c r="AG2" s="55"/>
      <c r="AH2" s="55"/>
      <c r="AI2" s="55"/>
    </row>
    <row r="3" ht="12.75" customHeight="1">
      <c r="A3" s="56" t="s">
        <v>277</v>
      </c>
      <c r="B3" s="57" t="s">
        <v>278</v>
      </c>
      <c r="C3" s="58" t="s">
        <v>279</v>
      </c>
      <c r="D3" s="82" t="s">
        <v>102</v>
      </c>
      <c r="E3" s="102" t="s">
        <v>103</v>
      </c>
      <c r="F3" s="108" t="s">
        <v>19</v>
      </c>
      <c r="G3" s="103"/>
      <c r="H3" s="63" t="s">
        <v>70</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0</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v>
      </c>
      <c r="N3" s="66" t="s">
        <v>280</v>
      </c>
      <c r="O3" s="85" t="s">
        <v>281</v>
      </c>
    </row>
    <row r="4" ht="38.25" customHeight="1">
      <c r="A4" s="68"/>
      <c r="B4" s="69"/>
      <c r="C4" s="70"/>
      <c r="D4" s="2"/>
      <c r="E4" s="2"/>
      <c r="F4" s="2"/>
      <c r="G4" s="3"/>
      <c r="H4" s="86"/>
      <c r="I4" s="2"/>
      <c r="J4" s="2"/>
      <c r="K4" s="2"/>
      <c r="L4" s="2"/>
      <c r="M4" s="2"/>
      <c r="N4" s="3"/>
      <c r="O4" s="69"/>
    </row>
    <row r="5" ht="12.75" customHeight="1">
      <c r="A5" s="68"/>
      <c r="B5" s="72" t="s">
        <v>282</v>
      </c>
      <c r="C5" s="73" t="s">
        <v>283</v>
      </c>
      <c r="D5" s="82" t="s">
        <v>102</v>
      </c>
      <c r="E5" s="83" t="s">
        <v>103</v>
      </c>
      <c r="F5" s="75" t="s">
        <v>19</v>
      </c>
      <c r="G5" s="84"/>
      <c r="H5" s="63" t="s">
        <v>70</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0</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1</v>
      </c>
      <c r="N5" s="66" t="s">
        <v>284</v>
      </c>
      <c r="O5" s="85" t="s">
        <v>285</v>
      </c>
    </row>
    <row r="6" ht="24.75" customHeight="1">
      <c r="A6" s="68"/>
      <c r="B6" s="69"/>
      <c r="C6" s="77"/>
      <c r="D6" s="2"/>
      <c r="E6" s="2"/>
      <c r="F6" s="2"/>
      <c r="G6" s="3"/>
      <c r="H6" s="86"/>
      <c r="I6" s="2"/>
      <c r="J6" s="2"/>
      <c r="K6" s="2"/>
      <c r="L6" s="2"/>
      <c r="M6" s="2"/>
      <c r="N6" s="3"/>
      <c r="O6" s="69"/>
    </row>
    <row r="7" ht="12.75" customHeight="1">
      <c r="A7" s="68"/>
      <c r="B7" s="57" t="s">
        <v>286</v>
      </c>
      <c r="C7" s="58" t="s">
        <v>287</v>
      </c>
      <c r="D7" s="82" t="s">
        <v>102</v>
      </c>
      <c r="E7" s="102" t="s">
        <v>103</v>
      </c>
      <c r="F7" s="61" t="s">
        <v>19</v>
      </c>
      <c r="G7" s="103"/>
      <c r="H7" s="63" t="s">
        <v>82</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0</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v>
      </c>
      <c r="N7" s="66" t="s">
        <v>288</v>
      </c>
      <c r="O7" s="85" t="s">
        <v>289</v>
      </c>
    </row>
    <row r="8" ht="63.0" customHeight="1">
      <c r="A8" s="68"/>
      <c r="B8" s="69"/>
      <c r="C8" s="70"/>
      <c r="D8" s="2"/>
      <c r="E8" s="2"/>
      <c r="F8" s="2"/>
      <c r="G8" s="3"/>
      <c r="H8" s="86"/>
      <c r="I8" s="2"/>
      <c r="J8" s="2"/>
      <c r="K8" s="2"/>
      <c r="L8" s="2"/>
      <c r="M8" s="2"/>
      <c r="N8" s="3"/>
      <c r="O8" s="69"/>
    </row>
    <row r="9" ht="12.75" customHeight="1">
      <c r="A9" s="68"/>
      <c r="B9" s="72" t="s">
        <v>290</v>
      </c>
      <c r="C9" s="73" t="s">
        <v>291</v>
      </c>
      <c r="D9" s="78" t="s">
        <v>75</v>
      </c>
      <c r="E9" s="106" t="s">
        <v>251</v>
      </c>
      <c r="F9" s="75" t="s">
        <v>19</v>
      </c>
      <c r="G9" s="76" t="s">
        <v>292</v>
      </c>
      <c r="H9" s="63" t="s">
        <v>70</v>
      </c>
      <c r="I9" s="64" t="s">
        <v>293</v>
      </c>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0</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1.25</v>
      </c>
      <c r="N9" s="91" t="s">
        <v>64</v>
      </c>
      <c r="O9" s="67" t="s">
        <v>294</v>
      </c>
    </row>
    <row r="10" ht="72.0" customHeight="1">
      <c r="A10" s="68"/>
      <c r="B10" s="69"/>
      <c r="C10" s="77"/>
      <c r="D10" s="2"/>
      <c r="E10" s="2"/>
      <c r="F10" s="2"/>
      <c r="G10" s="3"/>
      <c r="H10" s="71" t="s">
        <v>295</v>
      </c>
      <c r="I10" s="2"/>
      <c r="J10" s="2"/>
      <c r="K10" s="2"/>
      <c r="L10" s="2"/>
      <c r="M10" s="2"/>
      <c r="N10" s="3"/>
      <c r="O10" s="69"/>
    </row>
    <row r="11" ht="12.75" customHeight="1">
      <c r="A11" s="68"/>
      <c r="B11" s="57" t="s">
        <v>296</v>
      </c>
      <c r="C11" s="58" t="s">
        <v>297</v>
      </c>
      <c r="D11" s="59" t="s">
        <v>60</v>
      </c>
      <c r="E11" s="79" t="s">
        <v>194</v>
      </c>
      <c r="F11" s="61" t="s">
        <v>19</v>
      </c>
      <c r="G11" s="62" t="s">
        <v>298</v>
      </c>
      <c r="H11" s="63" t="s">
        <v>82</v>
      </c>
      <c r="I11" s="64" t="s">
        <v>299</v>
      </c>
      <c r="J11" s="64" t="s">
        <v>300</v>
      </c>
      <c r="K11" s="64" t="s">
        <v>301</v>
      </c>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0</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1.5</v>
      </c>
      <c r="N11" s="91" t="s">
        <v>64</v>
      </c>
      <c r="O11" s="67" t="s">
        <v>302</v>
      </c>
    </row>
    <row r="12" ht="47.25" customHeight="1">
      <c r="A12" s="68"/>
      <c r="B12" s="69"/>
      <c r="C12" s="70"/>
      <c r="D12" s="2"/>
      <c r="E12" s="2"/>
      <c r="F12" s="2"/>
      <c r="G12" s="3"/>
      <c r="H12" s="71" t="s">
        <v>303</v>
      </c>
      <c r="I12" s="2"/>
      <c r="J12" s="2"/>
      <c r="K12" s="2"/>
      <c r="L12" s="2"/>
      <c r="M12" s="2"/>
      <c r="N12" s="3"/>
      <c r="O12" s="69"/>
    </row>
    <row r="13" ht="12.75" customHeight="1">
      <c r="A13" s="68"/>
      <c r="B13" s="72" t="s">
        <v>304</v>
      </c>
      <c r="C13" s="73" t="s">
        <v>305</v>
      </c>
      <c r="D13" s="78" t="s">
        <v>75</v>
      </c>
      <c r="E13" s="74" t="s">
        <v>61</v>
      </c>
      <c r="F13" s="75" t="s">
        <v>19</v>
      </c>
      <c r="G13" s="76" t="s">
        <v>306</v>
      </c>
      <c r="H13" s="63" t="s">
        <v>82</v>
      </c>
      <c r="I13" s="63"/>
      <c r="J13" s="63"/>
      <c r="K13" s="63"/>
      <c r="L13" s="65">
        <f>IFS(D13="Top priority",IFS(E13="Validated",1.5,E13="Ongoing",0,E13="Not validated",0,E13="Not applicable",0,E13="To evaluate",0),D13="Recommanded",IFS(E13="Validated",1.25,E13="Ongoing",0,E13="Not validated",0,E13="Not applicable",0,E13="To evaluate",0),D13="Moderate",IFS(E13="Validated",1,E13="Ongoing",0,E13="Not validated",0,E13="Not applicable",0,E13="To evaluate",0))</f>
        <v>1.25</v>
      </c>
      <c r="M13" s="65">
        <f>IFS(D13="Top priority",IFS(E13="Validated",1.5,E13="Ongoing",1.5,E13="Not validated",1.5,E13="Not applicable",0,E13="To evaluate",1.5),D13="Recommanded",IFS(E13="Validated",1.25,E13="Ongoing",1.25,E13="Not validated",1.25,E13="Not applicable",0,E13="To evaluate",1.25),D13="Moderate",IFS(E13="Validated",1,E13="Ongoing",1,E13="Not validated",1,E13="Not applicable",0,E13="To evaluate",1))</f>
        <v>1.25</v>
      </c>
      <c r="N13" s="91" t="s">
        <v>64</v>
      </c>
      <c r="O13" s="67" t="s">
        <v>307</v>
      </c>
    </row>
    <row r="14" ht="42.0" customHeight="1">
      <c r="A14" s="68"/>
      <c r="B14" s="69"/>
      <c r="C14" s="77"/>
      <c r="D14" s="2"/>
      <c r="E14" s="2"/>
      <c r="F14" s="2"/>
      <c r="G14" s="3"/>
      <c r="H14" s="71" t="s">
        <v>308</v>
      </c>
      <c r="I14" s="2"/>
      <c r="J14" s="2"/>
      <c r="K14" s="2"/>
      <c r="L14" s="2"/>
      <c r="M14" s="2"/>
      <c r="N14" s="3"/>
      <c r="O14" s="69"/>
    </row>
    <row r="15" ht="12.75" customHeight="1">
      <c r="A15" s="68"/>
      <c r="B15" s="57" t="s">
        <v>309</v>
      </c>
      <c r="C15" s="58" t="s">
        <v>310</v>
      </c>
      <c r="D15" s="78" t="s">
        <v>75</v>
      </c>
      <c r="E15" s="79" t="s">
        <v>194</v>
      </c>
      <c r="F15" s="61" t="s">
        <v>19</v>
      </c>
      <c r="G15" s="62" t="s">
        <v>311</v>
      </c>
      <c r="H15" s="63" t="s">
        <v>82</v>
      </c>
      <c r="I15" s="64" t="s">
        <v>312</v>
      </c>
      <c r="J15" s="64" t="s">
        <v>313</v>
      </c>
      <c r="K15" s="64" t="s">
        <v>301</v>
      </c>
      <c r="L15" s="65">
        <f>IFS(D15="Top priority",IFS(E15="Validated",1.5,E15="Ongoing",0,E15="Not validated",0,E15="Not applicable",0,E15="To evaluate",0),D15="Recommanded",IFS(E15="Validated",1.25,E15="Ongoing",0,E15="Not validated",0,E15="Not applicable",0,E15="To evaluate",0),D15="Moderate",IFS(E15="Validated",1,E15="Ongoing",0,E15="Not validated",0,E15="Not applicable",0,E15="To evaluate",0))</f>
        <v>0</v>
      </c>
      <c r="M15" s="65">
        <f>IFS(D15="Top priority",IFS(E15="Validated",1.5,E15="Ongoing",1.5,E15="Not validated",1.5,E15="Not applicable",0,E15="To evaluate",1.5),D15="Recommanded",IFS(E15="Validated",1.25,E15="Ongoing",1.25,E15="Not validated",1.25,E15="Not applicable",0,E15="To evaluate",1.25),D15="Moderate",IFS(E15="Validated",1,E15="Ongoing",1,E15="Not validated",1,E15="Not applicable",0,E15="To evaluate",1))</f>
        <v>1.25</v>
      </c>
      <c r="N15" s="91" t="s">
        <v>64</v>
      </c>
      <c r="O15" s="67" t="s">
        <v>314</v>
      </c>
    </row>
    <row r="16" ht="87.75" customHeight="1">
      <c r="A16" s="69"/>
      <c r="B16" s="69"/>
      <c r="C16" s="70"/>
      <c r="D16" s="2"/>
      <c r="E16" s="2"/>
      <c r="F16" s="2"/>
      <c r="G16" s="3"/>
      <c r="H16" s="71" t="s">
        <v>315</v>
      </c>
      <c r="I16" s="2"/>
      <c r="J16" s="2"/>
      <c r="K16" s="2"/>
      <c r="L16" s="2"/>
      <c r="M16" s="2"/>
      <c r="N16" s="3"/>
      <c r="O16" s="69"/>
    </row>
    <row r="17" ht="12.75" customHeight="1"/>
    <row r="18" ht="12.75" customHeight="1">
      <c r="H18" s="109" t="s">
        <v>315</v>
      </c>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B15:B16"/>
    <mergeCell ref="O15:O16"/>
    <mergeCell ref="C16:G16"/>
    <mergeCell ref="H16:N16"/>
    <mergeCell ref="A1:G1"/>
    <mergeCell ref="H1:K1"/>
    <mergeCell ref="L1:O1"/>
    <mergeCell ref="A2:B2"/>
    <mergeCell ref="A3:A16"/>
    <mergeCell ref="B3:B4"/>
    <mergeCell ref="B5:B6"/>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B13:B14"/>
    <mergeCell ref="O13:O14"/>
    <mergeCell ref="C14:G14"/>
    <mergeCell ref="H14:N14"/>
  </mergeCells>
  <dataValidations>
    <dataValidation type="list" allowBlank="1" showErrorMessage="1" sqref="E3 E5 E7 E9 E11 E13 E15">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316</v>
      </c>
      <c r="B1" s="2"/>
      <c r="C1" s="2"/>
      <c r="D1" s="2"/>
      <c r="E1" s="2"/>
      <c r="F1" s="2"/>
      <c r="G1" s="3"/>
      <c r="H1" s="48" t="s">
        <v>317</v>
      </c>
      <c r="I1" s="2"/>
      <c r="J1" s="2"/>
      <c r="K1" s="3"/>
      <c r="L1" s="49" t="s">
        <v>318</v>
      </c>
      <c r="M1" s="2"/>
      <c r="N1" s="2"/>
      <c r="O1" s="3"/>
    </row>
    <row r="2" ht="30.0" customHeight="1">
      <c r="A2" s="50" t="s">
        <v>43</v>
      </c>
      <c r="B2" s="3"/>
      <c r="C2" s="51" t="s">
        <v>44</v>
      </c>
      <c r="D2" s="105" t="s">
        <v>45</v>
      </c>
      <c r="E2" s="51" t="s">
        <v>46</v>
      </c>
      <c r="F2" s="53" t="s">
        <v>47</v>
      </c>
      <c r="G2" s="52" t="s">
        <v>48</v>
      </c>
      <c r="H2" s="105" t="s">
        <v>49</v>
      </c>
      <c r="I2" s="51" t="s">
        <v>50</v>
      </c>
      <c r="J2" s="51" t="s">
        <v>51</v>
      </c>
      <c r="K2" s="51" t="s">
        <v>52</v>
      </c>
      <c r="L2" s="52" t="s">
        <v>53</v>
      </c>
      <c r="M2" s="51" t="s">
        <v>54</v>
      </c>
      <c r="N2" s="51" t="s">
        <v>55</v>
      </c>
      <c r="O2" s="54" t="s">
        <v>319</v>
      </c>
      <c r="P2" s="55"/>
      <c r="Q2" s="55"/>
      <c r="R2" s="55"/>
      <c r="S2" s="55"/>
      <c r="T2" s="55"/>
      <c r="U2" s="55"/>
      <c r="V2" s="55"/>
      <c r="W2" s="55"/>
      <c r="X2" s="55"/>
      <c r="Y2" s="55"/>
      <c r="Z2" s="55"/>
      <c r="AA2" s="55"/>
      <c r="AB2" s="55"/>
      <c r="AC2" s="55"/>
      <c r="AD2" s="55"/>
      <c r="AE2" s="55"/>
      <c r="AF2" s="55"/>
      <c r="AG2" s="55"/>
      <c r="AH2" s="55"/>
      <c r="AI2" s="55"/>
    </row>
    <row r="3" ht="12.75" customHeight="1">
      <c r="A3" s="56" t="s">
        <v>320</v>
      </c>
      <c r="B3" s="57" t="s">
        <v>321</v>
      </c>
      <c r="C3" s="58" t="s">
        <v>322</v>
      </c>
      <c r="D3" s="78" t="s">
        <v>75</v>
      </c>
      <c r="E3" s="60" t="s">
        <v>323</v>
      </c>
      <c r="F3" s="110" t="str">
        <f>IF(D3&lt;&gt;"Moderate", "15/11/2025", "")</f>
        <v>15/11/2025</v>
      </c>
      <c r="G3" s="62" t="s">
        <v>324</v>
      </c>
      <c r="H3" s="63" t="s">
        <v>70</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0</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0</v>
      </c>
      <c r="N3" s="91" t="s">
        <v>325</v>
      </c>
      <c r="O3" s="67" t="s">
        <v>326</v>
      </c>
    </row>
    <row r="4" ht="28.5" customHeight="1">
      <c r="A4" s="68"/>
      <c r="B4" s="69"/>
      <c r="C4" s="70"/>
      <c r="D4" s="2"/>
      <c r="E4" s="2"/>
      <c r="F4" s="2"/>
      <c r="G4" s="3"/>
      <c r="H4" s="71" t="s">
        <v>327</v>
      </c>
      <c r="I4" s="2"/>
      <c r="J4" s="2"/>
      <c r="K4" s="2"/>
      <c r="L4" s="2"/>
      <c r="M4" s="2"/>
      <c r="N4" s="3"/>
      <c r="O4" s="69"/>
    </row>
    <row r="5" ht="12.75" customHeight="1">
      <c r="A5" s="68"/>
      <c r="B5" s="72" t="s">
        <v>328</v>
      </c>
      <c r="C5" s="73" t="s">
        <v>329</v>
      </c>
      <c r="D5" s="78" t="s">
        <v>75</v>
      </c>
      <c r="E5" s="106" t="s">
        <v>323</v>
      </c>
      <c r="F5" s="111" t="str">
        <f>IF(D5&lt;&gt;"Moderate", "15/11/2025", "")</f>
        <v>15/11/2025</v>
      </c>
      <c r="G5" s="76" t="s">
        <v>330</v>
      </c>
      <c r="H5" s="63" t="s">
        <v>82</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0</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0</v>
      </c>
      <c r="N5" s="91" t="s">
        <v>331</v>
      </c>
      <c r="O5" s="67" t="s">
        <v>332</v>
      </c>
    </row>
    <row r="6" ht="36.0" customHeight="1">
      <c r="A6" s="68"/>
      <c r="B6" s="69"/>
      <c r="C6" s="77"/>
      <c r="D6" s="2"/>
      <c r="E6" s="2"/>
      <c r="F6" s="2"/>
      <c r="G6" s="3"/>
      <c r="H6" s="71" t="s">
        <v>333</v>
      </c>
      <c r="I6" s="2"/>
      <c r="J6" s="2"/>
      <c r="K6" s="2"/>
      <c r="L6" s="2"/>
      <c r="M6" s="2"/>
      <c r="N6" s="3"/>
      <c r="O6" s="69"/>
    </row>
    <row r="7" ht="12.75" customHeight="1">
      <c r="A7" s="68"/>
      <c r="B7" s="57" t="s">
        <v>334</v>
      </c>
      <c r="C7" s="58" t="s">
        <v>335</v>
      </c>
      <c r="D7" s="59" t="s">
        <v>60</v>
      </c>
      <c r="E7" s="60" t="s">
        <v>323</v>
      </c>
      <c r="F7" s="110" t="str">
        <f>IF(D7&lt;&gt;"Moderate", "15/11/2025", "")</f>
        <v>15/11/2025</v>
      </c>
      <c r="G7" s="62" t="s">
        <v>336</v>
      </c>
      <c r="H7" s="63" t="s">
        <v>70</v>
      </c>
      <c r="I7" s="64" t="s">
        <v>337</v>
      </c>
      <c r="J7" s="64" t="s">
        <v>338</v>
      </c>
      <c r="K7" s="64" t="s">
        <v>301</v>
      </c>
      <c r="L7" s="65">
        <f>IFS(D7="Top priority",IFS(E7="Validated",1.5,E7="Ongoing",0,E7="Not validated",0,E7="Not applicable",0,E7="To evaluate",0),D7="Recommanded",IFS(E7="Validated",1.25,E7="Ongoing",0,E7="Not validated",0,E7="Not applicable",0,E7="To evaluate",0),D7="Moderate",IFS(E7="Validated",1,E7="Ongoing",0,E7="Not validated",0,E7="Not applicable",0,E7="To evaluate",0))</f>
        <v>0</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0</v>
      </c>
      <c r="N7" s="91" t="s">
        <v>339</v>
      </c>
      <c r="O7" s="67" t="s">
        <v>340</v>
      </c>
    </row>
    <row r="8" ht="66.75" customHeight="1">
      <c r="A8" s="68"/>
      <c r="B8" s="69"/>
      <c r="C8" s="70"/>
      <c r="D8" s="2"/>
      <c r="E8" s="2"/>
      <c r="F8" s="2"/>
      <c r="G8" s="3"/>
      <c r="H8" s="71" t="s">
        <v>341</v>
      </c>
      <c r="I8" s="2"/>
      <c r="J8" s="2"/>
      <c r="K8" s="2"/>
      <c r="L8" s="2"/>
      <c r="M8" s="2"/>
      <c r="N8" s="3"/>
      <c r="O8" s="69"/>
    </row>
    <row r="9" ht="12.75" customHeight="1">
      <c r="A9" s="68"/>
      <c r="B9" s="72" t="s">
        <v>342</v>
      </c>
      <c r="C9" s="73" t="s">
        <v>343</v>
      </c>
      <c r="D9" s="59" t="s">
        <v>60</v>
      </c>
      <c r="E9" s="106" t="s">
        <v>323</v>
      </c>
      <c r="F9" s="111" t="str">
        <f>IF(D9&lt;&gt;"Moderate", "15/11/2025", "")</f>
        <v>15/11/2025</v>
      </c>
      <c r="G9" s="76" t="s">
        <v>344</v>
      </c>
      <c r="H9" s="63" t="s">
        <v>82</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0</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0</v>
      </c>
      <c r="N9" s="91" t="s">
        <v>345</v>
      </c>
      <c r="O9" s="67" t="s">
        <v>346</v>
      </c>
    </row>
    <row r="10" ht="126.75" customHeight="1">
      <c r="A10" s="68"/>
      <c r="B10" s="69"/>
      <c r="C10" s="77"/>
      <c r="D10" s="2"/>
      <c r="E10" s="2"/>
      <c r="F10" s="2"/>
      <c r="G10" s="3"/>
      <c r="H10" s="71" t="s">
        <v>347</v>
      </c>
      <c r="I10" s="2"/>
      <c r="J10" s="2"/>
      <c r="K10" s="2"/>
      <c r="L10" s="2"/>
      <c r="M10" s="2"/>
      <c r="N10" s="3"/>
      <c r="O10" s="69"/>
    </row>
    <row r="11" ht="12.75" customHeight="1">
      <c r="A11" s="68"/>
      <c r="B11" s="57" t="s">
        <v>348</v>
      </c>
      <c r="C11" s="58" t="s">
        <v>349</v>
      </c>
      <c r="D11" s="59" t="s">
        <v>60</v>
      </c>
      <c r="E11" s="60" t="s">
        <v>323</v>
      </c>
      <c r="F11" s="110" t="str">
        <f>IF(D11&lt;&gt;"Moderate", "15/11/2025", "")</f>
        <v>15/11/2025</v>
      </c>
      <c r="G11" s="62" t="s">
        <v>350</v>
      </c>
      <c r="H11" s="63" t="s">
        <v>63</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0</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0</v>
      </c>
      <c r="N11" s="91" t="s">
        <v>351</v>
      </c>
      <c r="O11" s="67" t="s">
        <v>352</v>
      </c>
    </row>
    <row r="12" ht="78.0" customHeight="1">
      <c r="A12" s="68"/>
      <c r="B12" s="69"/>
      <c r="C12" s="70"/>
      <c r="D12" s="2"/>
      <c r="E12" s="2"/>
      <c r="F12" s="2"/>
      <c r="G12" s="3"/>
      <c r="H12" s="71" t="s">
        <v>353</v>
      </c>
      <c r="I12" s="2"/>
      <c r="J12" s="2"/>
      <c r="K12" s="2"/>
      <c r="L12" s="2"/>
      <c r="M12" s="2"/>
      <c r="N12" s="3"/>
      <c r="O12" s="69"/>
    </row>
    <row r="13" ht="12.75" customHeight="1">
      <c r="A13" s="68"/>
      <c r="B13" s="72" t="s">
        <v>354</v>
      </c>
      <c r="C13" s="73" t="s">
        <v>355</v>
      </c>
      <c r="D13" s="82" t="s">
        <v>102</v>
      </c>
      <c r="E13" s="83" t="s">
        <v>103</v>
      </c>
      <c r="F13" s="111" t="str">
        <f>IF(D13&lt;&gt;"Moderate", "15/11/2025", "")</f>
        <v/>
      </c>
      <c r="G13" s="84"/>
      <c r="H13" s="63" t="s">
        <v>70</v>
      </c>
      <c r="I13" s="63"/>
      <c r="J13" s="63"/>
      <c r="K13" s="63"/>
      <c r="L13" s="65">
        <f>IFS(D13="Top priority",IFS(E13="Validated",1.5,E13="Ongoing",0,E13="Not validated",0,E13="Not applicable",0,E13="To evaluate",0),D13="Recommanded",IFS(E13="Validated",1.25,E13="Ongoing",0,E13="Not validated",0,E13="Not applicable",0,E13="To evaluate",0),D13="Moderate",IFS(E13="Validated",1,E13="Ongoing",0,E13="Not validated",0,E13="Not applicable",0,E13="To evaluate",0))</f>
        <v>0</v>
      </c>
      <c r="M13" s="65">
        <f>IFS(D13="Top priority",IFS(E13="Validated",1.5,E13="Ongoing",1.5,E13="Not validated",1.5,E13="Not applicable",0,E13="To evaluate",1.5),D13="Recommanded",IFS(E13="Validated",1.25,E13="Ongoing",1.25,E13="Not validated",1.25,E13="Not applicable",0,E13="To evaluate",1.25),D13="Moderate",IFS(E13="Validated",1,E13="Ongoing",1,E13="Not validated",1,E13="Not applicable",0,E13="To evaluate",1))</f>
        <v>1</v>
      </c>
      <c r="N13" s="66" t="s">
        <v>356</v>
      </c>
      <c r="O13" s="85" t="s">
        <v>357</v>
      </c>
    </row>
    <row r="14" ht="57.0" customHeight="1">
      <c r="A14" s="68"/>
      <c r="B14" s="69"/>
      <c r="C14" s="77"/>
      <c r="D14" s="2"/>
      <c r="E14" s="2"/>
      <c r="F14" s="2"/>
      <c r="G14" s="3"/>
      <c r="H14" s="86" t="s">
        <v>358</v>
      </c>
      <c r="I14" s="2"/>
      <c r="J14" s="2"/>
      <c r="K14" s="2"/>
      <c r="L14" s="2"/>
      <c r="M14" s="2"/>
      <c r="N14" s="3"/>
      <c r="O14" s="69"/>
    </row>
    <row r="15" ht="12.75" customHeight="1">
      <c r="A15" s="68"/>
      <c r="B15" s="57" t="s">
        <v>359</v>
      </c>
      <c r="C15" s="58" t="s">
        <v>360</v>
      </c>
      <c r="D15" s="82" t="s">
        <v>102</v>
      </c>
      <c r="E15" s="102" t="s">
        <v>103</v>
      </c>
      <c r="F15" s="110" t="str">
        <f>IF(D15&lt;&gt;"Moderate", "15/11/2025", "")</f>
        <v/>
      </c>
      <c r="G15" s="103"/>
      <c r="H15" s="63" t="s">
        <v>82</v>
      </c>
      <c r="I15" s="63"/>
      <c r="J15" s="63"/>
      <c r="K15" s="63"/>
      <c r="L15" s="65">
        <f>IFS(D15="Top priority",IFS(E15="Validated",1.5,E15="Ongoing",0,E15="Not validated",0,E15="Not applicable",0,E15="To evaluate",0),D15="Recommanded",IFS(E15="Validated",1.25,E15="Ongoing",0,E15="Not validated",0,E15="Not applicable",0,E15="To evaluate",0),D15="Moderate",IFS(E15="Validated",1,E15="Ongoing",0,E15="Not validated",0,E15="Not applicable",0,E15="To evaluate",0))</f>
        <v>0</v>
      </c>
      <c r="M15" s="65">
        <f>IFS(D15="Top priority",IFS(E15="Validated",1.5,E15="Ongoing",1.5,E15="Not validated",1.5,E15="Not applicable",0,E15="To evaluate",1.5),D15="Recommanded",IFS(E15="Validated",1.25,E15="Ongoing",1.25,E15="Not validated",1.25,E15="Not applicable",0,E15="To evaluate",1.25),D15="Moderate",IFS(E15="Validated",1,E15="Ongoing",1,E15="Not validated",1,E15="Not applicable",0,E15="To evaluate",1))</f>
        <v>1</v>
      </c>
      <c r="N15" s="66" t="s">
        <v>361</v>
      </c>
      <c r="O15" s="85" t="s">
        <v>362</v>
      </c>
    </row>
    <row r="16" ht="37.5" customHeight="1">
      <c r="A16" s="68"/>
      <c r="B16" s="69"/>
      <c r="C16" s="70"/>
      <c r="D16" s="2"/>
      <c r="E16" s="2"/>
      <c r="F16" s="2"/>
      <c r="G16" s="3"/>
      <c r="H16" s="86" t="s">
        <v>363</v>
      </c>
      <c r="I16" s="2"/>
      <c r="J16" s="2"/>
      <c r="K16" s="2"/>
      <c r="L16" s="2"/>
      <c r="M16" s="2"/>
      <c r="N16" s="3"/>
      <c r="O16" s="69"/>
    </row>
    <row r="17" ht="12.75" customHeight="1">
      <c r="A17" s="68"/>
      <c r="B17" s="72" t="s">
        <v>364</v>
      </c>
      <c r="C17" s="73" t="s">
        <v>365</v>
      </c>
      <c r="D17" s="78" t="s">
        <v>75</v>
      </c>
      <c r="E17" s="74" t="s">
        <v>194</v>
      </c>
      <c r="F17" s="111" t="str">
        <f>IF(D17&lt;&gt;"Moderate", "15/11/2025", "")</f>
        <v>15/11/2025</v>
      </c>
      <c r="G17" s="76" t="s">
        <v>366</v>
      </c>
      <c r="H17" s="63" t="s">
        <v>82</v>
      </c>
      <c r="I17" s="64" t="s">
        <v>367</v>
      </c>
      <c r="J17" s="64" t="s">
        <v>368</v>
      </c>
      <c r="K17" s="64" t="s">
        <v>369</v>
      </c>
      <c r="L17" s="65">
        <f>IFS(D17="Top priority",IFS(E17="Validated",1.5,E17="Ongoing",0,E17="Not validated",0,E17="Not applicable",0,E17="To evaluate",0),D17="Recommanded",IFS(E17="Validated",1.25,E17="Ongoing",0,E17="Not validated",0,E17="Not applicable",0,E17="To evaluate",0),D17="Moderate",IFS(E17="Validated",1,E17="Ongoing",0,E17="Not validated",0,E17="Not applicable",0,E17="To evaluate",0))</f>
        <v>0</v>
      </c>
      <c r="M17" s="65">
        <f>IFS(D17="Top priority",IFS(E17="Validated",1.5,E17="Ongoing",1.5,E17="Not validated",1.5,E17="Not applicable",0,E17="To evaluate",1.5),D17="Recommanded",IFS(E17="Validated",1.25,E17="Ongoing",1.25,E17="Not validated",1.25,E17="Not applicable",0,E17="To evaluate",1.25),D17="Moderate",IFS(E17="Validated",1,E17="Ongoing",1,E17="Not validated",1,E17="Not applicable",0,E17="To evaluate",1))</f>
        <v>1.25</v>
      </c>
      <c r="N17" s="91" t="s">
        <v>64</v>
      </c>
      <c r="O17" s="67" t="s">
        <v>370</v>
      </c>
    </row>
    <row r="18" ht="27.75" customHeight="1">
      <c r="A18" s="69"/>
      <c r="B18" s="69"/>
      <c r="C18" s="77"/>
      <c r="D18" s="2"/>
      <c r="E18" s="2"/>
      <c r="F18" s="2"/>
      <c r="G18" s="3"/>
      <c r="H18" s="71" t="s">
        <v>371</v>
      </c>
      <c r="I18" s="2"/>
      <c r="J18" s="2"/>
      <c r="K18" s="2"/>
      <c r="L18" s="2"/>
      <c r="M18" s="2"/>
      <c r="N18" s="3"/>
      <c r="O18" s="69"/>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7">
    <mergeCell ref="B15:B16"/>
    <mergeCell ref="O15:O16"/>
    <mergeCell ref="C16:G16"/>
    <mergeCell ref="H16:N16"/>
    <mergeCell ref="B17:B18"/>
    <mergeCell ref="O17:O18"/>
    <mergeCell ref="C18:G18"/>
    <mergeCell ref="H18:N18"/>
    <mergeCell ref="A1:G1"/>
    <mergeCell ref="H1:K1"/>
    <mergeCell ref="L1:O1"/>
    <mergeCell ref="A2:B2"/>
    <mergeCell ref="A3:A18"/>
    <mergeCell ref="B3:B4"/>
    <mergeCell ref="B5:B6"/>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B13:B14"/>
    <mergeCell ref="O13:O14"/>
    <mergeCell ref="C14:G14"/>
    <mergeCell ref="H14:N14"/>
  </mergeCells>
  <dataValidations>
    <dataValidation type="list" allowBlank="1" showErrorMessage="1" sqref="E3 E5 E7 E9 E11 E13 E15 E17">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372</v>
      </c>
      <c r="B1" s="2"/>
      <c r="C1" s="2"/>
      <c r="D1" s="2"/>
      <c r="E1" s="2"/>
      <c r="F1" s="2"/>
      <c r="G1" s="3"/>
      <c r="H1" s="48" t="s">
        <v>373</v>
      </c>
      <c r="I1" s="2"/>
      <c r="J1" s="2"/>
      <c r="K1" s="3"/>
      <c r="L1" s="49" t="s">
        <v>374</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375</v>
      </c>
      <c r="P2" s="55"/>
      <c r="Q2" s="55"/>
      <c r="R2" s="55"/>
      <c r="S2" s="55"/>
      <c r="T2" s="55"/>
      <c r="U2" s="55"/>
      <c r="V2" s="55"/>
      <c r="W2" s="55"/>
      <c r="X2" s="55"/>
      <c r="Y2" s="55"/>
      <c r="Z2" s="55"/>
      <c r="AA2" s="55"/>
      <c r="AB2" s="55"/>
      <c r="AC2" s="55"/>
      <c r="AD2" s="55"/>
      <c r="AE2" s="55"/>
      <c r="AF2" s="55"/>
      <c r="AG2" s="55"/>
      <c r="AH2" s="55"/>
      <c r="AI2" s="55"/>
    </row>
    <row r="3" ht="12.75" customHeight="1">
      <c r="A3" s="56" t="s">
        <v>376</v>
      </c>
      <c r="B3" s="57" t="s">
        <v>377</v>
      </c>
      <c r="C3" s="58" t="s">
        <v>378</v>
      </c>
      <c r="D3" s="78" t="s">
        <v>75</v>
      </c>
      <c r="E3" s="79" t="s">
        <v>194</v>
      </c>
      <c r="F3" s="110" t="str">
        <f>IF(D3&lt;&gt;"Moderate", "15/11/2025", "")</f>
        <v>15/11/2025</v>
      </c>
      <c r="G3" s="62" t="s">
        <v>379</v>
      </c>
      <c r="H3" s="63" t="s">
        <v>82</v>
      </c>
      <c r="I3" s="64" t="s">
        <v>380</v>
      </c>
      <c r="J3" s="64" t="s">
        <v>338</v>
      </c>
      <c r="K3" s="64" t="s">
        <v>381</v>
      </c>
      <c r="L3" s="65">
        <f>IFS(D3="Top priority",IFS(E3="Validated",1.5,E3="Ongoing",0,E3="Not validated",0,E3="Not applicable",0,E3="To evaluate",0),D3="Recommanded",IFS(E3="Validated",1.25,E3="Ongoing",0,E3="Not validated",0,E3="Not applicable",0,E3="To evaluate",0),D3="Moderate",IFS(E3="Validated",1,E3="Ongoing",0,E3="Not validated",0,E3="Not applicable",0,E3="To evaluate",0))</f>
        <v>0</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1.25</v>
      </c>
      <c r="N3" s="91" t="s">
        <v>64</v>
      </c>
      <c r="O3" s="67" t="s">
        <v>382</v>
      </c>
    </row>
    <row r="4" ht="57.0" customHeight="1">
      <c r="A4" s="68"/>
      <c r="B4" s="69"/>
      <c r="C4" s="70"/>
      <c r="D4" s="2"/>
      <c r="E4" s="2"/>
      <c r="F4" s="2"/>
      <c r="G4" s="3"/>
      <c r="H4" s="71" t="s">
        <v>383</v>
      </c>
      <c r="I4" s="2"/>
      <c r="J4" s="2"/>
      <c r="K4" s="2"/>
      <c r="L4" s="2"/>
      <c r="M4" s="2"/>
      <c r="N4" s="3"/>
      <c r="O4" s="69"/>
    </row>
    <row r="5" ht="12.75" customHeight="1">
      <c r="A5" s="68"/>
      <c r="B5" s="72" t="s">
        <v>384</v>
      </c>
      <c r="C5" s="73" t="s">
        <v>385</v>
      </c>
      <c r="D5" s="78" t="s">
        <v>75</v>
      </c>
      <c r="E5" s="74" t="s">
        <v>61</v>
      </c>
      <c r="F5" s="111" t="str">
        <f>IF(D5&lt;&gt;"Moderate", "15/11/2025", "")</f>
        <v>15/11/2025</v>
      </c>
      <c r="G5" s="76" t="s">
        <v>386</v>
      </c>
      <c r="H5" s="63" t="s">
        <v>82</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1.25</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1.25</v>
      </c>
      <c r="N5" s="91" t="s">
        <v>387</v>
      </c>
      <c r="O5" s="67" t="s">
        <v>388</v>
      </c>
    </row>
    <row r="6" ht="71.25" customHeight="1">
      <c r="A6" s="68"/>
      <c r="B6" s="69"/>
      <c r="C6" s="77"/>
      <c r="D6" s="2"/>
      <c r="E6" s="2"/>
      <c r="F6" s="2"/>
      <c r="G6" s="3"/>
      <c r="H6" s="71" t="s">
        <v>389</v>
      </c>
      <c r="I6" s="2"/>
      <c r="J6" s="2"/>
      <c r="K6" s="2"/>
      <c r="L6" s="2"/>
      <c r="M6" s="2"/>
      <c r="N6" s="3"/>
      <c r="O6" s="69"/>
    </row>
    <row r="7" ht="12.75" customHeight="1">
      <c r="A7" s="68"/>
      <c r="B7" s="57" t="s">
        <v>390</v>
      </c>
      <c r="C7" s="58" t="s">
        <v>391</v>
      </c>
      <c r="D7" s="82" t="s">
        <v>102</v>
      </c>
      <c r="E7" s="102" t="s">
        <v>103</v>
      </c>
      <c r="F7" s="110" t="str">
        <f>IF(D7&lt;&gt;"Moderate", "15/11/2025", "")</f>
        <v/>
      </c>
      <c r="G7" s="103"/>
      <c r="H7" s="63" t="s">
        <v>70</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0</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v>
      </c>
      <c r="N7" s="66" t="s">
        <v>205</v>
      </c>
      <c r="O7" s="85" t="s">
        <v>392</v>
      </c>
    </row>
    <row r="8" ht="27.0" customHeight="1">
      <c r="A8" s="68"/>
      <c r="B8" s="69"/>
      <c r="C8" s="70"/>
      <c r="D8" s="2"/>
      <c r="E8" s="2"/>
      <c r="F8" s="2"/>
      <c r="G8" s="3"/>
      <c r="H8" s="86"/>
      <c r="I8" s="2"/>
      <c r="J8" s="2"/>
      <c r="K8" s="2"/>
      <c r="L8" s="2"/>
      <c r="M8" s="2"/>
      <c r="N8" s="3"/>
      <c r="O8" s="69"/>
    </row>
    <row r="9" ht="12.75" customHeight="1">
      <c r="A9" s="68"/>
      <c r="B9" s="72" t="s">
        <v>393</v>
      </c>
      <c r="C9" s="73" t="s">
        <v>394</v>
      </c>
      <c r="D9" s="78" t="s">
        <v>75</v>
      </c>
      <c r="E9" s="74" t="s">
        <v>61</v>
      </c>
      <c r="F9" s="111" t="str">
        <f>IF(D9&lt;&gt;"Moderate", "15/11/2025", "")</f>
        <v>15/11/2025</v>
      </c>
      <c r="G9" s="76" t="s">
        <v>395</v>
      </c>
      <c r="H9" s="63" t="s">
        <v>82</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1.25</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1.25</v>
      </c>
      <c r="N9" s="91" t="s">
        <v>396</v>
      </c>
      <c r="O9" s="67" t="s">
        <v>397</v>
      </c>
    </row>
    <row r="10" ht="77.25" customHeight="1">
      <c r="A10" s="68"/>
      <c r="B10" s="69"/>
      <c r="C10" s="77"/>
      <c r="D10" s="2"/>
      <c r="E10" s="2"/>
      <c r="F10" s="2"/>
      <c r="G10" s="3"/>
      <c r="H10" s="71" t="s">
        <v>398</v>
      </c>
      <c r="I10" s="2"/>
      <c r="J10" s="2"/>
      <c r="K10" s="2"/>
      <c r="L10" s="2"/>
      <c r="M10" s="2"/>
      <c r="N10" s="3"/>
      <c r="O10" s="69"/>
    </row>
    <row r="11" ht="12.75" customHeight="1">
      <c r="A11" s="68"/>
      <c r="B11" s="57" t="s">
        <v>399</v>
      </c>
      <c r="C11" s="58" t="s">
        <v>400</v>
      </c>
      <c r="D11" s="78" t="s">
        <v>75</v>
      </c>
      <c r="E11" s="60" t="s">
        <v>61</v>
      </c>
      <c r="F11" s="110" t="str">
        <f>IF(D11&lt;&gt;"Moderate", "15/11/2025", "")</f>
        <v>15/11/2025</v>
      </c>
      <c r="G11" s="112" t="s">
        <v>401</v>
      </c>
      <c r="H11" s="101" t="s">
        <v>63</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1.25</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1.25</v>
      </c>
      <c r="N11" s="87" t="s">
        <v>64</v>
      </c>
      <c r="O11" s="67" t="s">
        <v>402</v>
      </c>
    </row>
    <row r="12" ht="22.5" customHeight="1">
      <c r="A12" s="68"/>
      <c r="B12" s="69"/>
      <c r="C12" s="70"/>
      <c r="D12" s="2"/>
      <c r="E12" s="2"/>
      <c r="F12" s="2"/>
      <c r="G12" s="3"/>
      <c r="H12" s="81" t="s">
        <v>403</v>
      </c>
      <c r="I12" s="2"/>
      <c r="J12" s="2"/>
      <c r="K12" s="2"/>
      <c r="L12" s="2"/>
      <c r="M12" s="2"/>
      <c r="N12" s="3"/>
      <c r="O12" s="69"/>
    </row>
    <row r="13" ht="12.75" customHeight="1">
      <c r="A13" s="68"/>
      <c r="B13" s="72" t="s">
        <v>404</v>
      </c>
      <c r="C13" s="73" t="s">
        <v>405</v>
      </c>
      <c r="D13" s="82" t="s">
        <v>102</v>
      </c>
      <c r="E13" s="106" t="s">
        <v>103</v>
      </c>
      <c r="F13" s="111" t="str">
        <f>IF(D13&lt;&gt;"Moderate", "15/11/2025", "")</f>
        <v/>
      </c>
      <c r="G13" s="76"/>
      <c r="H13" s="63" t="s">
        <v>82</v>
      </c>
      <c r="I13" s="63"/>
      <c r="J13" s="63"/>
      <c r="K13" s="63"/>
      <c r="L13" s="65">
        <f>IFS(D13="Top priority",IFS(E13="Validated",1.5,E13="Ongoing",0,E13="Not validated",0,E13="Not applicable",0,E13="To evaluate",0),D13="Recommanded",IFS(E13="Validated",1.25,E13="Ongoing",0,E13="Not validated",0,E13="Not applicable",0,E13="To evaluate",0),D13="Moderate",IFS(E13="Validated",1,E13="Ongoing",0,E13="Not validated",0,E13="Not applicable",0,E13="To evaluate",0))</f>
        <v>0</v>
      </c>
      <c r="M13" s="65">
        <f>IFS(D13="Top priority",IFS(E13="Validated",1.5,E13="Ongoing",1.5,E13="Not validated",1.5,E13="Not applicable",0,E13="To evaluate",1.5),D13="Recommanded",IFS(E13="Validated",1.25,E13="Ongoing",1.25,E13="Not validated",1.25,E13="Not applicable",0,E13="To evaluate",1.25),D13="Moderate",IFS(E13="Validated",1,E13="Ongoing",1,E13="Not validated",1,E13="Not applicable",0,E13="To evaluate",1))</f>
        <v>1</v>
      </c>
      <c r="N13" s="91"/>
      <c r="O13" s="67"/>
    </row>
    <row r="14" ht="27.75" customHeight="1">
      <c r="A14" s="68"/>
      <c r="B14" s="69"/>
      <c r="C14" s="77"/>
      <c r="D14" s="2"/>
      <c r="E14" s="2"/>
      <c r="F14" s="2"/>
      <c r="G14" s="3"/>
      <c r="H14" s="71"/>
      <c r="I14" s="2"/>
      <c r="J14" s="2"/>
      <c r="K14" s="2"/>
      <c r="L14" s="2"/>
      <c r="M14" s="2"/>
      <c r="N14" s="3"/>
      <c r="O14" s="69"/>
    </row>
    <row r="15" ht="12.75" customHeight="1">
      <c r="A15" s="68"/>
      <c r="B15" s="57" t="s">
        <v>406</v>
      </c>
      <c r="C15" s="58" t="s">
        <v>407</v>
      </c>
      <c r="D15" s="82" t="s">
        <v>102</v>
      </c>
      <c r="E15" s="102" t="s">
        <v>103</v>
      </c>
      <c r="F15" s="110" t="str">
        <f>IF(D15&lt;&gt;"Moderate", "15/11/2025", "")</f>
        <v/>
      </c>
      <c r="G15" s="103"/>
      <c r="H15" s="63" t="s">
        <v>70</v>
      </c>
      <c r="I15" s="63"/>
      <c r="J15" s="63"/>
      <c r="K15" s="63"/>
      <c r="L15" s="65">
        <f>IFS(D15="Top priority",IFS(E15="Validated",1.5,E15="Ongoing",0,E15="Not validated",0,E15="Not applicable",0,E15="To evaluate",0),D15="Recommanded",IFS(E15="Validated",1.25,E15="Ongoing",0,E15="Not validated",0,E15="Not applicable",0,E15="To evaluate",0),D15="Moderate",IFS(E15="Validated",1,E15="Ongoing",0,E15="Not validated",0,E15="Not applicable",0,E15="To evaluate",0))</f>
        <v>0</v>
      </c>
      <c r="M15" s="65">
        <f>IFS(D15="Top priority",IFS(E15="Validated",1.5,E15="Ongoing",1.5,E15="Not validated",1.5,E15="Not applicable",0,E15="To evaluate",1.5),D15="Recommanded",IFS(E15="Validated",1.25,E15="Ongoing",1.25,E15="Not validated",1.25,E15="Not applicable",0,E15="To evaluate",1.25),D15="Moderate",IFS(E15="Validated",1,E15="Ongoing",1,E15="Not validated",1,E15="Not applicable",0,E15="To evaluate",1))</f>
        <v>1</v>
      </c>
      <c r="N15" s="66" t="s">
        <v>408</v>
      </c>
      <c r="O15" s="85" t="s">
        <v>409</v>
      </c>
    </row>
    <row r="16" ht="29.25" customHeight="1">
      <c r="A16" s="69"/>
      <c r="B16" s="69"/>
      <c r="C16" s="70"/>
      <c r="D16" s="2"/>
      <c r="E16" s="2"/>
      <c r="F16" s="2"/>
      <c r="G16" s="3"/>
      <c r="H16" s="86"/>
      <c r="I16" s="2"/>
      <c r="J16" s="2"/>
      <c r="K16" s="2"/>
      <c r="L16" s="2"/>
      <c r="M16" s="2"/>
      <c r="N16" s="3"/>
      <c r="O16" s="69"/>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B15:B16"/>
    <mergeCell ref="O15:O16"/>
    <mergeCell ref="C16:G16"/>
    <mergeCell ref="H16:N16"/>
    <mergeCell ref="A1:G1"/>
    <mergeCell ref="H1:K1"/>
    <mergeCell ref="L1:O1"/>
    <mergeCell ref="A2:B2"/>
    <mergeCell ref="A3:A16"/>
    <mergeCell ref="B3:B4"/>
    <mergeCell ref="B5:B6"/>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B13:B14"/>
    <mergeCell ref="O13:O14"/>
    <mergeCell ref="C14:G14"/>
    <mergeCell ref="H14:N14"/>
  </mergeCells>
  <dataValidations>
    <dataValidation type="list" allowBlank="1" showErrorMessage="1" sqref="E3 E5 E7 E9 E11 E13 E15">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410</v>
      </c>
      <c r="B1" s="2"/>
      <c r="C1" s="2"/>
      <c r="D1" s="2"/>
      <c r="E1" s="2"/>
      <c r="F1" s="2"/>
      <c r="G1" s="3"/>
      <c r="H1" s="48" t="s">
        <v>411</v>
      </c>
      <c r="I1" s="2"/>
      <c r="J1" s="2"/>
      <c r="K1" s="3"/>
      <c r="L1" s="49" t="s">
        <v>412</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413</v>
      </c>
      <c r="P2" s="55"/>
      <c r="Q2" s="55"/>
      <c r="R2" s="55"/>
      <c r="S2" s="55"/>
      <c r="T2" s="55"/>
      <c r="U2" s="55"/>
      <c r="V2" s="55"/>
      <c r="W2" s="55"/>
      <c r="X2" s="55"/>
      <c r="Y2" s="55"/>
      <c r="Z2" s="55"/>
      <c r="AA2" s="55"/>
      <c r="AB2" s="55"/>
      <c r="AC2" s="55"/>
      <c r="AD2" s="55"/>
      <c r="AE2" s="55"/>
      <c r="AF2" s="55"/>
      <c r="AG2" s="55"/>
      <c r="AH2" s="55"/>
      <c r="AI2" s="55"/>
    </row>
    <row r="3" ht="12.75" customHeight="1">
      <c r="A3" s="56" t="s">
        <v>414</v>
      </c>
      <c r="B3" s="57" t="s">
        <v>415</v>
      </c>
      <c r="C3" s="58" t="s">
        <v>416</v>
      </c>
      <c r="D3" s="78" t="s">
        <v>75</v>
      </c>
      <c r="E3" s="79" t="s">
        <v>61</v>
      </c>
      <c r="F3" s="110" t="str">
        <f>IF(D3&lt;&gt;"Moderate", "15/11/2025", "")</f>
        <v>15/11/2025</v>
      </c>
      <c r="G3" s="62" t="s">
        <v>417</v>
      </c>
      <c r="H3" s="63" t="s">
        <v>82</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1.25</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1.25</v>
      </c>
      <c r="N3" s="91" t="s">
        <v>418</v>
      </c>
      <c r="O3" s="67" t="s">
        <v>419</v>
      </c>
    </row>
    <row r="4" ht="67.5" customHeight="1">
      <c r="A4" s="68"/>
      <c r="B4" s="69"/>
      <c r="C4" s="70"/>
      <c r="D4" s="2"/>
      <c r="E4" s="2"/>
      <c r="F4" s="2"/>
      <c r="G4" s="3"/>
      <c r="H4" s="71" t="s">
        <v>420</v>
      </c>
      <c r="I4" s="2"/>
      <c r="J4" s="2"/>
      <c r="K4" s="2"/>
      <c r="L4" s="2"/>
      <c r="M4" s="2"/>
      <c r="N4" s="3"/>
      <c r="O4" s="69"/>
    </row>
    <row r="5" ht="12.75" customHeight="1">
      <c r="A5" s="68"/>
      <c r="B5" s="72" t="s">
        <v>421</v>
      </c>
      <c r="C5" s="73" t="s">
        <v>422</v>
      </c>
      <c r="D5" s="78" t="s">
        <v>75</v>
      </c>
      <c r="E5" s="74" t="s">
        <v>194</v>
      </c>
      <c r="F5" s="111" t="str">
        <f>IF(D5&lt;&gt;"Moderate", "15/11/2025", "")</f>
        <v>15/11/2025</v>
      </c>
      <c r="G5" s="76" t="s">
        <v>423</v>
      </c>
      <c r="H5" s="63" t="s">
        <v>82</v>
      </c>
      <c r="I5" s="64" t="s">
        <v>424</v>
      </c>
      <c r="J5" s="64" t="s">
        <v>368</v>
      </c>
      <c r="K5" s="64" t="s">
        <v>246</v>
      </c>
      <c r="L5" s="65">
        <f>IFS(D5="Top priority",IFS(E5="Validated",1.5,E5="Ongoing",0,E5="Not validated",0,E5="Not applicable",0,E5="To evaluate",0),D5="Recommanded",IFS(E5="Validated",1.25,E5="Ongoing",0,E5="Not validated",0,E5="Not applicable",0,E5="To evaluate",0),D5="Moderate",IFS(E5="Validated",1,E5="Ongoing",0,E5="Not validated",0,E5="Not applicable",0,E5="To evaluate",0))</f>
        <v>0</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1.25</v>
      </c>
      <c r="N5" s="91" t="s">
        <v>425</v>
      </c>
      <c r="O5" s="67" t="s">
        <v>426</v>
      </c>
    </row>
    <row r="6" ht="43.5" customHeight="1">
      <c r="A6" s="68"/>
      <c r="B6" s="69"/>
      <c r="C6" s="77"/>
      <c r="D6" s="2"/>
      <c r="E6" s="2"/>
      <c r="F6" s="2"/>
      <c r="G6" s="3"/>
      <c r="H6" s="71" t="s">
        <v>427</v>
      </c>
      <c r="I6" s="2"/>
      <c r="J6" s="2"/>
      <c r="K6" s="2"/>
      <c r="L6" s="2"/>
      <c r="M6" s="2"/>
      <c r="N6" s="3"/>
      <c r="O6" s="69"/>
    </row>
    <row r="7" ht="12.75" customHeight="1">
      <c r="A7" s="68"/>
      <c r="B7" s="57" t="s">
        <v>428</v>
      </c>
      <c r="C7" s="58" t="s">
        <v>429</v>
      </c>
      <c r="D7" s="82" t="s">
        <v>102</v>
      </c>
      <c r="E7" s="102" t="s">
        <v>103</v>
      </c>
      <c r="F7" s="110" t="str">
        <f>IF(D7&lt;&gt;"Moderate", "15/11/2025", "")</f>
        <v/>
      </c>
      <c r="G7" s="103"/>
      <c r="H7" s="63" t="s">
        <v>70</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0</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v>
      </c>
      <c r="N7" s="66" t="s">
        <v>430</v>
      </c>
      <c r="O7" s="85" t="s">
        <v>431</v>
      </c>
    </row>
    <row r="8" ht="39.75" customHeight="1">
      <c r="A8" s="68"/>
      <c r="B8" s="69"/>
      <c r="C8" s="70"/>
      <c r="D8" s="2"/>
      <c r="E8" s="2"/>
      <c r="F8" s="2"/>
      <c r="G8" s="3"/>
      <c r="H8" s="86"/>
      <c r="I8" s="2"/>
      <c r="J8" s="2"/>
      <c r="K8" s="2"/>
      <c r="L8" s="2"/>
      <c r="M8" s="2"/>
      <c r="N8" s="3"/>
      <c r="O8" s="69"/>
    </row>
    <row r="9" ht="12.75" customHeight="1">
      <c r="A9" s="68"/>
      <c r="B9" s="72" t="s">
        <v>432</v>
      </c>
      <c r="C9" s="73" t="s">
        <v>433</v>
      </c>
      <c r="D9" s="59" t="s">
        <v>60</v>
      </c>
      <c r="E9" s="106" t="s">
        <v>323</v>
      </c>
      <c r="F9" s="111" t="str">
        <f>IF(D9&lt;&gt;"Moderate", "15/11/2025", "")</f>
        <v>15/11/2025</v>
      </c>
      <c r="G9" s="76" t="s">
        <v>434</v>
      </c>
      <c r="H9" s="63" t="s">
        <v>63</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0</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0</v>
      </c>
      <c r="N9" s="91" t="s">
        <v>435</v>
      </c>
      <c r="O9" s="67" t="s">
        <v>436</v>
      </c>
    </row>
    <row r="10" ht="97.5" customHeight="1">
      <c r="A10" s="69"/>
      <c r="B10" s="69"/>
      <c r="C10" s="77"/>
      <c r="D10" s="2"/>
      <c r="E10" s="2"/>
      <c r="F10" s="2"/>
      <c r="G10" s="3"/>
      <c r="H10" s="71" t="s">
        <v>437</v>
      </c>
      <c r="I10" s="2"/>
      <c r="J10" s="2"/>
      <c r="K10" s="2"/>
      <c r="L10" s="2"/>
      <c r="M10" s="2"/>
      <c r="N10" s="3"/>
      <c r="O10" s="69"/>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1">
    <mergeCell ref="C4:G4"/>
    <mergeCell ref="H4:N4"/>
    <mergeCell ref="O3:O4"/>
    <mergeCell ref="O5:O6"/>
    <mergeCell ref="C6:G6"/>
    <mergeCell ref="H6:N6"/>
    <mergeCell ref="B7:B8"/>
    <mergeCell ref="O7:O8"/>
    <mergeCell ref="C8:G8"/>
    <mergeCell ref="H8:N8"/>
    <mergeCell ref="B9:B10"/>
    <mergeCell ref="O9:O10"/>
    <mergeCell ref="C10:G10"/>
    <mergeCell ref="H10:N10"/>
    <mergeCell ref="A1:G1"/>
    <mergeCell ref="H1:K1"/>
    <mergeCell ref="L1:O1"/>
    <mergeCell ref="A2:B2"/>
    <mergeCell ref="A3:A10"/>
    <mergeCell ref="B3:B4"/>
    <mergeCell ref="B5:B6"/>
  </mergeCells>
  <dataValidations>
    <dataValidation type="list" allowBlank="1" showErrorMessage="1" sqref="E3 E5 E7 E9">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438</v>
      </c>
      <c r="B1" s="2"/>
      <c r="C1" s="2"/>
      <c r="D1" s="2"/>
      <c r="E1" s="2"/>
      <c r="F1" s="2"/>
      <c r="G1" s="3"/>
      <c r="H1" s="48" t="s">
        <v>439</v>
      </c>
      <c r="I1" s="2"/>
      <c r="J1" s="2"/>
      <c r="K1" s="3"/>
      <c r="L1" s="49" t="s">
        <v>440</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441</v>
      </c>
      <c r="P2" s="55"/>
      <c r="Q2" s="55"/>
      <c r="R2" s="55"/>
      <c r="S2" s="55"/>
      <c r="T2" s="55"/>
      <c r="U2" s="55"/>
      <c r="V2" s="55"/>
      <c r="W2" s="55"/>
      <c r="X2" s="55"/>
      <c r="Y2" s="55"/>
      <c r="Z2" s="55"/>
      <c r="AA2" s="55"/>
      <c r="AB2" s="55"/>
      <c r="AC2" s="55"/>
      <c r="AD2" s="55"/>
      <c r="AE2" s="55"/>
      <c r="AF2" s="55"/>
      <c r="AG2" s="55"/>
      <c r="AH2" s="55"/>
      <c r="AI2" s="55"/>
    </row>
    <row r="3" ht="30.75" customHeight="1">
      <c r="A3" s="56" t="s">
        <v>442</v>
      </c>
      <c r="B3" s="113"/>
      <c r="C3" s="70"/>
      <c r="D3" s="2"/>
      <c r="E3" s="2"/>
      <c r="F3" s="2"/>
      <c r="G3" s="3"/>
      <c r="H3" s="86" t="s">
        <v>443</v>
      </c>
      <c r="I3" s="2"/>
      <c r="J3" s="2"/>
      <c r="K3" s="2"/>
      <c r="L3" s="2"/>
      <c r="M3" s="2"/>
      <c r="N3" s="3"/>
      <c r="O3" s="114"/>
    </row>
    <row r="4" ht="12.75" customHeight="1">
      <c r="A4" s="68"/>
      <c r="B4" s="72" t="s">
        <v>444</v>
      </c>
      <c r="C4" s="73" t="s">
        <v>445</v>
      </c>
      <c r="D4" s="59" t="s">
        <v>60</v>
      </c>
      <c r="E4" s="74" t="s">
        <v>61</v>
      </c>
      <c r="F4" s="111" t="str">
        <f>IF(D4&lt;&gt;"Moderate", "15/11/2025", "")</f>
        <v>15/11/2025</v>
      </c>
      <c r="G4" s="76" t="s">
        <v>446</v>
      </c>
      <c r="H4" s="63" t="s">
        <v>82</v>
      </c>
      <c r="I4" s="63"/>
      <c r="J4" s="63"/>
      <c r="K4" s="63"/>
      <c r="L4" s="65">
        <f>IFS(D4="Top priority",IFS(E4="Validated",1.5,E4="Ongoing",0,E4="Not validated",0,E4="Not applicable",0,E4="To evaluate",0),D4="Recommanded",IFS(E4="Validated",1.25,E4="Ongoing",0,E4="Not validated",0,E4="Not applicable",0,E4="To evaluate",0),D4="Moderate",IFS(E4="Validated",1,E4="Ongoing",0,E4="Not validated",0,E4="Not applicable",0,E4="To evaluate",0))</f>
        <v>1.5</v>
      </c>
      <c r="M4" s="65">
        <f>IFS(D4="Top priority",IFS(E4="Validated",1.5,E4="Ongoing",1.5,E4="Not validated",1.5,E4="Not applicable",0,E4="To evaluate",1.5),D4="Recommanded",IFS(E4="Validated",1.25,E4="Ongoing",1.25,E4="Not validated",1.25,E4="Not applicable",0,E4="To evaluate",1.25),D4="Moderate",IFS(E4="Validated",1,E4="Ongoing",1,E4="Not validated",1,E4="Not applicable",0,E4="To evaluate",1))</f>
        <v>1.5</v>
      </c>
      <c r="N4" s="91" t="s">
        <v>447</v>
      </c>
      <c r="O4" s="67" t="s">
        <v>448</v>
      </c>
    </row>
    <row r="5" ht="78.0" customHeight="1">
      <c r="A5" s="68"/>
      <c r="B5" s="69"/>
      <c r="C5" s="77"/>
      <c r="D5" s="2"/>
      <c r="E5" s="2"/>
      <c r="F5" s="2"/>
      <c r="G5" s="3"/>
      <c r="H5" s="71" t="s">
        <v>449</v>
      </c>
      <c r="I5" s="2"/>
      <c r="J5" s="2"/>
      <c r="K5" s="2"/>
      <c r="L5" s="2"/>
      <c r="M5" s="2"/>
      <c r="N5" s="3"/>
      <c r="O5" s="69"/>
    </row>
    <row r="6" ht="12.75" customHeight="1">
      <c r="A6" s="68"/>
      <c r="B6" s="57" t="s">
        <v>450</v>
      </c>
      <c r="C6" s="58" t="s">
        <v>451</v>
      </c>
      <c r="D6" s="59" t="s">
        <v>60</v>
      </c>
      <c r="E6" s="79" t="s">
        <v>61</v>
      </c>
      <c r="F6" s="110" t="str">
        <f>IF(D6&lt;&gt;"Moderate", "15/11/2025", "")</f>
        <v>15/11/2025</v>
      </c>
      <c r="G6" s="62" t="s">
        <v>452</v>
      </c>
      <c r="H6" s="63" t="s">
        <v>82</v>
      </c>
      <c r="I6" s="63"/>
      <c r="J6" s="63"/>
      <c r="K6" s="63"/>
      <c r="L6" s="65">
        <f>IFS(D6="Top priority",IFS(E6="Validated",1.5,E6="Ongoing",0,E6="Not validated",0,E6="Not applicable",0,E6="To evaluate",0),D6="Recommanded",IFS(E6="Validated",1.25,E6="Ongoing",0,E6="Not validated",0,E6="Not applicable",0,E6="To evaluate",0),D6="Moderate",IFS(E6="Validated",1,E6="Ongoing",0,E6="Not validated",0,E6="Not applicable",0,E6="To evaluate",0))</f>
        <v>1.5</v>
      </c>
      <c r="M6" s="65">
        <f>IFS(D6="Top priority",IFS(E6="Validated",1.5,E6="Ongoing",1.5,E6="Not validated",1.5,E6="Not applicable",0,E6="To evaluate",1.5),D6="Recommanded",IFS(E6="Validated",1.25,E6="Ongoing",1.25,E6="Not validated",1.25,E6="Not applicable",0,E6="To evaluate",1.25),D6="Moderate",IFS(E6="Validated",1,E6="Ongoing",1,E6="Not validated",1,E6="Not applicable",0,E6="To evaluate",1))</f>
        <v>1.5</v>
      </c>
      <c r="N6" s="91" t="s">
        <v>453</v>
      </c>
      <c r="O6" s="67" t="s">
        <v>454</v>
      </c>
    </row>
    <row r="7" ht="112.5" customHeight="1">
      <c r="A7" s="68"/>
      <c r="B7" s="69"/>
      <c r="C7" s="70"/>
      <c r="D7" s="2"/>
      <c r="E7" s="2"/>
      <c r="F7" s="2"/>
      <c r="G7" s="3"/>
      <c r="H7" s="71" t="s">
        <v>455</v>
      </c>
      <c r="I7" s="2"/>
      <c r="J7" s="2"/>
      <c r="K7" s="2"/>
      <c r="L7" s="2"/>
      <c r="M7" s="2"/>
      <c r="N7" s="3"/>
      <c r="O7" s="69"/>
    </row>
    <row r="8" ht="12.75" customHeight="1">
      <c r="A8" s="68"/>
      <c r="B8" s="72" t="s">
        <v>456</v>
      </c>
      <c r="C8" s="73" t="s">
        <v>457</v>
      </c>
      <c r="D8" s="59" t="s">
        <v>60</v>
      </c>
      <c r="E8" s="74" t="s">
        <v>61</v>
      </c>
      <c r="F8" s="111" t="str">
        <f>IF(D8&lt;&gt;"Moderate", "15/11/2025", "")</f>
        <v>15/11/2025</v>
      </c>
      <c r="G8" s="76" t="s">
        <v>458</v>
      </c>
      <c r="H8" s="63" t="s">
        <v>82</v>
      </c>
      <c r="I8" s="63"/>
      <c r="J8" s="63"/>
      <c r="K8" s="63"/>
      <c r="L8" s="65">
        <f>IFS(D8="Top priority",IFS(E8="Validated",1.5,E8="Ongoing",0,E8="Not validated",0,E8="Not applicable",0,E8="To evaluate",0),D8="Recommanded",IFS(E8="Validated",1.25,E8="Ongoing",0,E8="Not validated",0,E8="Not applicable",0,E8="To evaluate",0),D8="Moderate",IFS(E8="Validated",1,E8="Ongoing",0,E8="Not validated",0,E8="Not applicable",0,E8="To evaluate",0))</f>
        <v>1.5</v>
      </c>
      <c r="M8" s="65">
        <f>IFS(D8="Top priority",IFS(E8="Validated",1.5,E8="Ongoing",1.5,E8="Not validated",1.5,E8="Not applicable",0,E8="To evaluate",1.5),D8="Recommanded",IFS(E8="Validated",1.25,E8="Ongoing",1.25,E8="Not validated",1.25,E8="Not applicable",0,E8="To evaluate",1.25),D8="Moderate",IFS(E8="Validated",1,E8="Ongoing",1,E8="Not validated",1,E8="Not applicable",0,E8="To evaluate",1))</f>
        <v>1.5</v>
      </c>
      <c r="N8" s="91" t="s">
        <v>64</v>
      </c>
      <c r="O8" s="67" t="s">
        <v>459</v>
      </c>
    </row>
    <row r="9" ht="56.25" customHeight="1">
      <c r="A9" s="68"/>
      <c r="B9" s="69"/>
      <c r="C9" s="77"/>
      <c r="D9" s="2"/>
      <c r="E9" s="2"/>
      <c r="F9" s="2"/>
      <c r="G9" s="3"/>
      <c r="H9" s="71" t="s">
        <v>460</v>
      </c>
      <c r="I9" s="2"/>
      <c r="J9" s="2"/>
      <c r="K9" s="2"/>
      <c r="L9" s="2"/>
      <c r="M9" s="2"/>
      <c r="N9" s="3"/>
      <c r="O9" s="69"/>
    </row>
    <row r="10" ht="12.75" customHeight="1">
      <c r="A10" s="68"/>
      <c r="B10" s="57" t="s">
        <v>461</v>
      </c>
      <c r="C10" s="58" t="s">
        <v>462</v>
      </c>
      <c r="D10" s="78" t="s">
        <v>75</v>
      </c>
      <c r="E10" s="60" t="s">
        <v>323</v>
      </c>
      <c r="F10" s="110" t="str">
        <f>IF(D10&lt;&gt;"Moderate", "15/11/2025", "")</f>
        <v>15/11/2025</v>
      </c>
      <c r="G10" s="62" t="s">
        <v>463</v>
      </c>
      <c r="H10" s="63" t="s">
        <v>82</v>
      </c>
      <c r="I10" s="63"/>
      <c r="J10" s="63"/>
      <c r="K10" s="63"/>
      <c r="L10" s="65">
        <f>IFS(D10="Top priority",IFS(E10="Validated",1.5,E10="Ongoing",0,E10="Not validated",0,E10="Not applicable",0,E10="To evaluate",0),D10="Recommanded",IFS(E10="Validated",1.25,E10="Ongoing",0,E10="Not validated",0,E10="Not applicable",0,E10="To evaluate",0),D10="Moderate",IFS(E10="Validated",1,E10="Ongoing",0,E10="Not validated",0,E10="Not applicable",0,E10="To evaluate",0))</f>
        <v>0</v>
      </c>
      <c r="M10" s="65">
        <f>IFS(D10="Top priority",IFS(E10="Validated",1.5,E10="Ongoing",1.5,E10="Not validated",1.5,E10="Not applicable",0,E10="To evaluate",1.5),D10="Recommanded",IFS(E10="Validated",1.25,E10="Ongoing",1.25,E10="Not validated",1.25,E10="Not applicable",0,E10="To evaluate",1.25),D10="Moderate",IFS(E10="Validated",1,E10="Ongoing",1,E10="Not validated",1,E10="Not applicable",0,E10="To evaluate",1))</f>
        <v>0</v>
      </c>
      <c r="N10" s="91" t="s">
        <v>464</v>
      </c>
      <c r="O10" s="67" t="s">
        <v>465</v>
      </c>
    </row>
    <row r="11" ht="54.0" customHeight="1">
      <c r="A11" s="68"/>
      <c r="B11" s="69"/>
      <c r="C11" s="70"/>
      <c r="D11" s="2"/>
      <c r="E11" s="2"/>
      <c r="F11" s="2"/>
      <c r="G11" s="3"/>
      <c r="H11" s="71" t="s">
        <v>466</v>
      </c>
      <c r="I11" s="2"/>
      <c r="J11" s="2"/>
      <c r="K11" s="2"/>
      <c r="L11" s="2"/>
      <c r="M11" s="2"/>
      <c r="N11" s="3"/>
      <c r="O11" s="69"/>
    </row>
    <row r="12" ht="12.75" customHeight="1">
      <c r="A12" s="68"/>
      <c r="B12" s="72" t="s">
        <v>467</v>
      </c>
      <c r="C12" s="73" t="s">
        <v>468</v>
      </c>
      <c r="D12" s="78" t="s">
        <v>75</v>
      </c>
      <c r="E12" s="74" t="s">
        <v>61</v>
      </c>
      <c r="F12" s="111" t="str">
        <f>IF(D12&lt;&gt;"Moderate", "15/11/2025", "")</f>
        <v>15/11/2025</v>
      </c>
      <c r="G12" s="76" t="s">
        <v>469</v>
      </c>
      <c r="H12" s="63" t="s">
        <v>70</v>
      </c>
      <c r="I12" s="63"/>
      <c r="J12" s="63"/>
      <c r="K12" s="63"/>
      <c r="L12" s="65">
        <f>IFS(D12="Top priority",IFS(E12="Validated",1.5,E12="Ongoing",0,E12="Not validated",0,E12="Not applicable",0,E12="To evaluate",0),D12="Recommanded",IFS(E12="Validated",1.25,E12="Ongoing",0,E12="Not validated",0,E12="Not applicable",0,E12="To evaluate",0),D12="Moderate",IFS(E12="Validated",1,E12="Ongoing",0,E12="Not validated",0,E12="Not applicable",0,E12="To evaluate",0))</f>
        <v>1.25</v>
      </c>
      <c r="M12" s="65">
        <f>IFS(D12="Top priority",IFS(E12="Validated",1.5,E12="Ongoing",1.5,E12="Not validated",1.5,E12="Not applicable",0,E12="To evaluate",1.5),D12="Recommanded",IFS(E12="Validated",1.25,E12="Ongoing",1.25,E12="Not validated",1.25,E12="Not applicable",0,E12="To evaluate",1.25),D12="Moderate",IFS(E12="Validated",1,E12="Ongoing",1,E12="Not validated",1,E12="Not applicable",0,E12="To evaluate",1))</f>
        <v>1.25</v>
      </c>
      <c r="N12" s="91" t="s">
        <v>64</v>
      </c>
      <c r="O12" s="67" t="s">
        <v>470</v>
      </c>
    </row>
    <row r="13" ht="111.75" customHeight="1">
      <c r="A13" s="69"/>
      <c r="B13" s="69"/>
      <c r="C13" s="77"/>
      <c r="D13" s="2"/>
      <c r="E13" s="2"/>
      <c r="F13" s="2"/>
      <c r="G13" s="3"/>
      <c r="H13" s="71" t="s">
        <v>471</v>
      </c>
      <c r="I13" s="2"/>
      <c r="J13" s="2"/>
      <c r="K13" s="2"/>
      <c r="L13" s="2"/>
      <c r="M13" s="2"/>
      <c r="N13" s="3"/>
      <c r="O13" s="69"/>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L1:O1"/>
    <mergeCell ref="O4:O5"/>
    <mergeCell ref="O6:O7"/>
    <mergeCell ref="O8:O9"/>
    <mergeCell ref="O10:O11"/>
    <mergeCell ref="O12:O13"/>
    <mergeCell ref="C5:G5"/>
    <mergeCell ref="H5:N5"/>
    <mergeCell ref="B6:B7"/>
    <mergeCell ref="C7:G7"/>
    <mergeCell ref="B4:B5"/>
    <mergeCell ref="B8:B9"/>
    <mergeCell ref="C9:G9"/>
    <mergeCell ref="H9:N9"/>
    <mergeCell ref="B10:B11"/>
    <mergeCell ref="C11:G11"/>
    <mergeCell ref="C13:G13"/>
    <mergeCell ref="A3:A13"/>
    <mergeCell ref="B12:B13"/>
    <mergeCell ref="A1:G1"/>
    <mergeCell ref="H1:K1"/>
    <mergeCell ref="A2:B2"/>
    <mergeCell ref="C3:G3"/>
    <mergeCell ref="H3:N3"/>
    <mergeCell ref="H7:N7"/>
    <mergeCell ref="H11:N11"/>
    <mergeCell ref="H13:N13"/>
  </mergeCells>
  <dataValidations>
    <dataValidation type="list" allowBlank="1" showErrorMessage="1" sqref="E4 E6 E8 E10 E12">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472</v>
      </c>
      <c r="B1" s="2"/>
      <c r="C1" s="2"/>
      <c r="D1" s="2"/>
      <c r="E1" s="2"/>
      <c r="F1" s="2"/>
      <c r="G1" s="3"/>
      <c r="H1" s="48" t="s">
        <v>473</v>
      </c>
      <c r="I1" s="2"/>
      <c r="J1" s="2"/>
      <c r="K1" s="3"/>
      <c r="L1" s="49" t="s">
        <v>474</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475</v>
      </c>
      <c r="P2" s="55"/>
      <c r="Q2" s="55"/>
      <c r="R2" s="55"/>
      <c r="S2" s="55"/>
      <c r="T2" s="55"/>
      <c r="U2" s="55"/>
      <c r="V2" s="55"/>
      <c r="W2" s="55"/>
      <c r="X2" s="55"/>
      <c r="Y2" s="55"/>
      <c r="Z2" s="55"/>
      <c r="AA2" s="55"/>
      <c r="AB2" s="55"/>
      <c r="AC2" s="55"/>
      <c r="AD2" s="55"/>
      <c r="AE2" s="55"/>
      <c r="AF2" s="55"/>
      <c r="AG2" s="55"/>
      <c r="AH2" s="55"/>
      <c r="AI2" s="55"/>
    </row>
    <row r="3" ht="12.75" customHeight="1">
      <c r="A3" s="56" t="s">
        <v>476</v>
      </c>
      <c r="B3" s="57" t="s">
        <v>477</v>
      </c>
      <c r="C3" s="58" t="s">
        <v>478</v>
      </c>
      <c r="D3" s="78" t="s">
        <v>75</v>
      </c>
      <c r="E3" s="79" t="s">
        <v>61</v>
      </c>
      <c r="F3" s="110" t="str">
        <f>IF(D3&lt;&gt;"Moderate", "15/11/2025", "")</f>
        <v>15/11/2025</v>
      </c>
      <c r="G3" s="62" t="s">
        <v>479</v>
      </c>
      <c r="H3" s="63" t="s">
        <v>82</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1.25</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1.25</v>
      </c>
      <c r="N3" s="91" t="s">
        <v>64</v>
      </c>
      <c r="O3" s="67" t="s">
        <v>480</v>
      </c>
    </row>
    <row r="4" ht="72.0" customHeight="1">
      <c r="A4" s="68"/>
      <c r="B4" s="69"/>
      <c r="C4" s="70"/>
      <c r="D4" s="2"/>
      <c r="E4" s="2"/>
      <c r="F4" s="2"/>
      <c r="G4" s="3"/>
      <c r="H4" s="71" t="s">
        <v>481</v>
      </c>
      <c r="I4" s="2"/>
      <c r="J4" s="2"/>
      <c r="K4" s="2"/>
      <c r="L4" s="2"/>
      <c r="M4" s="2"/>
      <c r="N4" s="3"/>
      <c r="O4" s="69"/>
    </row>
    <row r="5" ht="12.75" customHeight="1">
      <c r="A5" s="68"/>
      <c r="B5" s="72" t="s">
        <v>482</v>
      </c>
      <c r="C5" s="73" t="s">
        <v>483</v>
      </c>
      <c r="D5" s="78" t="s">
        <v>75</v>
      </c>
      <c r="E5" s="74" t="s">
        <v>194</v>
      </c>
      <c r="F5" s="111" t="str">
        <f>IF(D5&lt;&gt;"Moderate", "15/11/2025", "")</f>
        <v>15/11/2025</v>
      </c>
      <c r="G5" s="76" t="s">
        <v>484</v>
      </c>
      <c r="H5" s="63" t="s">
        <v>63</v>
      </c>
      <c r="I5" s="64" t="s">
        <v>485</v>
      </c>
      <c r="J5" s="64" t="s">
        <v>486</v>
      </c>
      <c r="K5" s="64" t="s">
        <v>487</v>
      </c>
      <c r="L5" s="65">
        <f>IFS(D5="Top priority",IFS(E5="Validated",1.5,E5="Ongoing",0,E5="Not validated",0,E5="Not applicable",0,E5="To evaluate",0),D5="Recommanded",IFS(E5="Validated",1.25,E5="Ongoing",0,E5="Not validated",0,E5="Not applicable",0,E5="To evaluate",0),D5="Moderate",IFS(E5="Validated",1,E5="Ongoing",0,E5="Not validated",0,E5="Not applicable",0,E5="To evaluate",0))</f>
        <v>0</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1.25</v>
      </c>
      <c r="N5" s="91" t="s">
        <v>64</v>
      </c>
      <c r="O5" s="67" t="s">
        <v>488</v>
      </c>
    </row>
    <row r="6" ht="99.0" customHeight="1">
      <c r="A6" s="68"/>
      <c r="B6" s="69"/>
      <c r="C6" s="77"/>
      <c r="D6" s="2"/>
      <c r="E6" s="2"/>
      <c r="F6" s="2"/>
      <c r="G6" s="3"/>
      <c r="H6" s="71" t="s">
        <v>489</v>
      </c>
      <c r="I6" s="2"/>
      <c r="J6" s="2"/>
      <c r="K6" s="2"/>
      <c r="L6" s="2"/>
      <c r="M6" s="2"/>
      <c r="N6" s="3"/>
      <c r="O6" s="69"/>
    </row>
    <row r="7" ht="12.75" customHeight="1">
      <c r="A7" s="68"/>
      <c r="B7" s="57" t="s">
        <v>490</v>
      </c>
      <c r="C7" s="58" t="s">
        <v>491</v>
      </c>
      <c r="D7" s="82" t="s">
        <v>102</v>
      </c>
      <c r="E7" s="102" t="s">
        <v>103</v>
      </c>
      <c r="F7" s="110" t="str">
        <f>IF(D7&lt;&gt;"Moderate", "15/11/2025", "")</f>
        <v/>
      </c>
      <c r="G7" s="103"/>
      <c r="H7" s="63" t="s">
        <v>63</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0</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1</v>
      </c>
      <c r="N7" s="66" t="s">
        <v>492</v>
      </c>
      <c r="O7" s="85" t="s">
        <v>493</v>
      </c>
    </row>
    <row r="8" ht="36.0" customHeight="1">
      <c r="A8" s="68"/>
      <c r="B8" s="69"/>
      <c r="C8" s="70"/>
      <c r="D8" s="2"/>
      <c r="E8" s="2"/>
      <c r="F8" s="2"/>
      <c r="G8" s="3"/>
      <c r="H8" s="86"/>
      <c r="I8" s="2"/>
      <c r="J8" s="2"/>
      <c r="K8" s="2"/>
      <c r="L8" s="2"/>
      <c r="M8" s="2"/>
      <c r="N8" s="3"/>
      <c r="O8" s="69"/>
    </row>
    <row r="9" ht="12.75" customHeight="1">
      <c r="A9" s="68"/>
      <c r="B9" s="72" t="s">
        <v>494</v>
      </c>
      <c r="C9" s="73" t="s">
        <v>495</v>
      </c>
      <c r="D9" s="78" t="s">
        <v>75</v>
      </c>
      <c r="E9" s="74" t="s">
        <v>61</v>
      </c>
      <c r="F9" s="111" t="str">
        <f>IF(D9&lt;&gt;"Moderate", "15/11/2025", "")</f>
        <v>15/11/2025</v>
      </c>
      <c r="G9" s="76" t="s">
        <v>496</v>
      </c>
      <c r="H9" s="63" t="s">
        <v>82</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1.25</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1.25</v>
      </c>
      <c r="N9" s="91" t="s">
        <v>497</v>
      </c>
      <c r="O9" s="67" t="s">
        <v>498</v>
      </c>
    </row>
    <row r="10" ht="37.5" customHeight="1">
      <c r="A10" s="68"/>
      <c r="B10" s="69"/>
      <c r="C10" s="77"/>
      <c r="D10" s="2"/>
      <c r="E10" s="2"/>
      <c r="F10" s="2"/>
      <c r="G10" s="3"/>
      <c r="H10" s="71" t="s">
        <v>499</v>
      </c>
      <c r="I10" s="2"/>
      <c r="J10" s="2"/>
      <c r="K10" s="2"/>
      <c r="L10" s="2"/>
      <c r="M10" s="2"/>
      <c r="N10" s="3"/>
      <c r="O10" s="69"/>
    </row>
    <row r="11" ht="12.75" customHeight="1">
      <c r="A11" s="68"/>
      <c r="B11" s="57" t="s">
        <v>500</v>
      </c>
      <c r="C11" s="58" t="s">
        <v>501</v>
      </c>
      <c r="D11" s="78" t="s">
        <v>75</v>
      </c>
      <c r="E11" s="60" t="s">
        <v>323</v>
      </c>
      <c r="F11" s="110" t="str">
        <f>IF(D11&lt;&gt;"Moderate", "15/11/2025", "")</f>
        <v>15/11/2025</v>
      </c>
      <c r="G11" s="62" t="s">
        <v>502</v>
      </c>
      <c r="H11" s="63" t="s">
        <v>63</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0</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0</v>
      </c>
      <c r="N11" s="91" t="s">
        <v>503</v>
      </c>
      <c r="O11" s="67" t="s">
        <v>504</v>
      </c>
    </row>
    <row r="12" ht="87.0" customHeight="1">
      <c r="A12" s="69"/>
      <c r="B12" s="69"/>
      <c r="C12" s="70"/>
      <c r="D12" s="2"/>
      <c r="E12" s="2"/>
      <c r="F12" s="2"/>
      <c r="G12" s="3"/>
      <c r="H12" s="71" t="s">
        <v>505</v>
      </c>
      <c r="I12" s="2"/>
      <c r="J12" s="2"/>
      <c r="K12" s="2"/>
      <c r="L12" s="2"/>
      <c r="M12" s="2"/>
      <c r="N12" s="3"/>
      <c r="O12" s="69"/>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5">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A1:G1"/>
    <mergeCell ref="H1:K1"/>
    <mergeCell ref="L1:O1"/>
    <mergeCell ref="A2:B2"/>
    <mergeCell ref="A3:A12"/>
    <mergeCell ref="B3:B4"/>
    <mergeCell ref="B5:B6"/>
  </mergeCells>
  <dataValidations>
    <dataValidation type="list" allowBlank="1" showErrorMessage="1" sqref="E3 E5 E7 E9 E11">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4.13"/>
    <col customWidth="1" min="3" max="3" width="42.88"/>
    <col customWidth="1" min="4" max="4" width="13.38"/>
    <col customWidth="1" min="5" max="6" width="11.63"/>
    <col customWidth="1" min="7" max="7" width="15.38"/>
    <col customWidth="1" min="8" max="8" width="9.63"/>
    <col customWidth="1" min="9" max="9" width="20.38"/>
    <col customWidth="1" min="10" max="11" width="12.88"/>
    <col customWidth="1" min="12" max="12" width="6.25"/>
    <col customWidth="1" min="13" max="13" width="12.75"/>
    <col customWidth="1" min="14" max="14" width="29.63"/>
    <col customWidth="1" min="15" max="15" width="71.38"/>
    <col customWidth="1" min="16" max="35" width="11.63"/>
  </cols>
  <sheetData>
    <row r="1" ht="30.0" customHeight="1">
      <c r="A1" s="1" t="s">
        <v>506</v>
      </c>
      <c r="B1" s="2"/>
      <c r="C1" s="2"/>
      <c r="D1" s="2"/>
      <c r="E1" s="2"/>
      <c r="F1" s="2"/>
      <c r="G1" s="3"/>
      <c r="H1" s="48" t="s">
        <v>507</v>
      </c>
      <c r="I1" s="2"/>
      <c r="J1" s="2"/>
      <c r="K1" s="3"/>
      <c r="L1" s="49" t="s">
        <v>508</v>
      </c>
      <c r="M1" s="2"/>
      <c r="N1" s="2"/>
      <c r="O1" s="3"/>
    </row>
    <row r="2" ht="30.0" customHeight="1">
      <c r="A2" s="50" t="s">
        <v>43</v>
      </c>
      <c r="B2" s="3"/>
      <c r="C2" s="51" t="s">
        <v>44</v>
      </c>
      <c r="D2" s="52" t="s">
        <v>45</v>
      </c>
      <c r="E2" s="51" t="s">
        <v>46</v>
      </c>
      <c r="F2" s="53" t="s">
        <v>47</v>
      </c>
      <c r="G2" s="52" t="s">
        <v>48</v>
      </c>
      <c r="H2" s="52" t="s">
        <v>49</v>
      </c>
      <c r="I2" s="51" t="s">
        <v>50</v>
      </c>
      <c r="J2" s="51" t="s">
        <v>51</v>
      </c>
      <c r="K2" s="51" t="s">
        <v>52</v>
      </c>
      <c r="L2" s="52" t="s">
        <v>53</v>
      </c>
      <c r="M2" s="51" t="s">
        <v>54</v>
      </c>
      <c r="N2" s="51" t="s">
        <v>55</v>
      </c>
      <c r="O2" s="54" t="s">
        <v>509</v>
      </c>
      <c r="P2" s="55"/>
      <c r="Q2" s="55"/>
      <c r="R2" s="55"/>
      <c r="S2" s="55"/>
      <c r="T2" s="55"/>
      <c r="U2" s="55"/>
      <c r="V2" s="55"/>
      <c r="W2" s="55"/>
      <c r="X2" s="55"/>
      <c r="Y2" s="55"/>
      <c r="Z2" s="55"/>
      <c r="AA2" s="55"/>
      <c r="AB2" s="55"/>
      <c r="AC2" s="55"/>
      <c r="AD2" s="55"/>
      <c r="AE2" s="55"/>
      <c r="AF2" s="55"/>
      <c r="AG2" s="55"/>
      <c r="AH2" s="55"/>
      <c r="AI2" s="55"/>
    </row>
    <row r="3" ht="12.75" customHeight="1">
      <c r="A3" s="56" t="s">
        <v>510</v>
      </c>
      <c r="B3" s="57" t="s">
        <v>511</v>
      </c>
      <c r="C3" s="58" t="s">
        <v>512</v>
      </c>
      <c r="D3" s="59" t="s">
        <v>60</v>
      </c>
      <c r="E3" s="79" t="s">
        <v>61</v>
      </c>
      <c r="F3" s="110" t="str">
        <f>IF(D3&lt;&gt;"Moderate", "15/11/2025", "")</f>
        <v>15/11/2025</v>
      </c>
      <c r="G3" s="62" t="s">
        <v>513</v>
      </c>
      <c r="H3" s="63" t="s">
        <v>70</v>
      </c>
      <c r="I3" s="63"/>
      <c r="J3" s="63"/>
      <c r="K3" s="63"/>
      <c r="L3" s="65">
        <f>IFS(D3="Top priority",IFS(E3="Validated",1.5,E3="Ongoing",0,E3="Not validated",0,E3="Not applicable",0,E3="To evaluate",0),D3="Recommanded",IFS(E3="Validated",1.25,E3="Ongoing",0,E3="Not validated",0,E3="Not applicable",0,E3="To evaluate",0),D3="Moderate",IFS(E3="Validated",1,E3="Ongoing",0,E3="Not validated",0,E3="Not applicable",0,E3="To evaluate",0))</f>
        <v>1.5</v>
      </c>
      <c r="M3" s="65">
        <f>IFS(D3="Top priority",IFS(E3="Validated",1.5,E3="Ongoing",1.5,E3="Not validated",1.5,E3="Not applicable",0,E3="To evaluate",1.5),D3="Recommanded",IFS(E3="Validated",1.25,E3="Ongoing",1.25,E3="Not validated",1.25,E3="Not applicable",0,E3="To evaluate",1.25),D3="Moderate",IFS(E3="Validated",1,E3="Ongoing",1,E3="Not validated",1,E3="Not applicable",0,E3="To evaluate",1))</f>
        <v>1.5</v>
      </c>
      <c r="N3" s="91" t="s">
        <v>64</v>
      </c>
      <c r="O3" s="67" t="s">
        <v>514</v>
      </c>
    </row>
    <row r="4" ht="84.0" customHeight="1">
      <c r="A4" s="68"/>
      <c r="B4" s="69"/>
      <c r="C4" s="70"/>
      <c r="D4" s="2"/>
      <c r="E4" s="2"/>
      <c r="F4" s="2"/>
      <c r="G4" s="3"/>
      <c r="H4" s="71" t="s">
        <v>515</v>
      </c>
      <c r="I4" s="2"/>
      <c r="J4" s="2"/>
      <c r="K4" s="2"/>
      <c r="L4" s="2"/>
      <c r="M4" s="2"/>
      <c r="N4" s="3"/>
      <c r="O4" s="69"/>
    </row>
    <row r="5" ht="12.75" customHeight="1">
      <c r="A5" s="68"/>
      <c r="B5" s="72" t="s">
        <v>516</v>
      </c>
      <c r="C5" s="73" t="s">
        <v>517</v>
      </c>
      <c r="D5" s="59" t="s">
        <v>60</v>
      </c>
      <c r="E5" s="106" t="s">
        <v>323</v>
      </c>
      <c r="F5" s="111" t="str">
        <f>IF(D5&lt;&gt;"Moderate", "15/11/2025", "")</f>
        <v>15/11/2025</v>
      </c>
      <c r="G5" s="76" t="s">
        <v>518</v>
      </c>
      <c r="H5" s="63" t="s">
        <v>82</v>
      </c>
      <c r="I5" s="63"/>
      <c r="J5" s="63"/>
      <c r="K5" s="63"/>
      <c r="L5" s="65">
        <f>IFS(D5="Top priority",IFS(E5="Validated",1.5,E5="Ongoing",0,E5="Not validated",0,E5="Not applicable",0,E5="To evaluate",0),D5="Recommanded",IFS(E5="Validated",1.25,E5="Ongoing",0,E5="Not validated",0,E5="Not applicable",0,E5="To evaluate",0),D5="Moderate",IFS(E5="Validated",1,E5="Ongoing",0,E5="Not validated",0,E5="Not applicable",0,E5="To evaluate",0))</f>
        <v>0</v>
      </c>
      <c r="M5" s="65">
        <f>IFS(D5="Top priority",IFS(E5="Validated",1.5,E5="Ongoing",1.5,E5="Not validated",1.5,E5="Not applicable",0,E5="To evaluate",1.5),D5="Recommanded",IFS(E5="Validated",1.25,E5="Ongoing",1.25,E5="Not validated",1.25,E5="Not applicable",0,E5="To evaluate",1.25),D5="Moderate",IFS(E5="Validated",1,E5="Ongoing",1,E5="Not validated",1,E5="Not applicable",0,E5="To evaluate",1))</f>
        <v>0</v>
      </c>
      <c r="N5" s="91" t="s">
        <v>519</v>
      </c>
      <c r="O5" s="67" t="s">
        <v>520</v>
      </c>
    </row>
    <row r="6" ht="66.75" customHeight="1">
      <c r="A6" s="68"/>
      <c r="B6" s="69"/>
      <c r="C6" s="77"/>
      <c r="D6" s="2"/>
      <c r="E6" s="2"/>
      <c r="F6" s="2"/>
      <c r="G6" s="3"/>
      <c r="H6" s="71" t="s">
        <v>521</v>
      </c>
      <c r="I6" s="2"/>
      <c r="J6" s="2"/>
      <c r="K6" s="2"/>
      <c r="L6" s="2"/>
      <c r="M6" s="2"/>
      <c r="N6" s="3"/>
      <c r="O6" s="69"/>
    </row>
    <row r="7" ht="12.75" customHeight="1">
      <c r="A7" s="68"/>
      <c r="B7" s="57" t="s">
        <v>522</v>
      </c>
      <c r="C7" s="58" t="s">
        <v>523</v>
      </c>
      <c r="D7" s="59" t="s">
        <v>60</v>
      </c>
      <c r="E7" s="60" t="s">
        <v>323</v>
      </c>
      <c r="F7" s="110" t="str">
        <f>IF(D7&lt;&gt;"Moderate", "15/11/2025", "")</f>
        <v>15/11/2025</v>
      </c>
      <c r="G7" s="62" t="s">
        <v>434</v>
      </c>
      <c r="H7" s="63" t="s">
        <v>63</v>
      </c>
      <c r="I7" s="63"/>
      <c r="J7" s="63"/>
      <c r="K7" s="63"/>
      <c r="L7" s="65">
        <f>IFS(D7="Top priority",IFS(E7="Validated",1.5,E7="Ongoing",0,E7="Not validated",0,E7="Not applicable",0,E7="To evaluate",0),D7="Recommanded",IFS(E7="Validated",1.25,E7="Ongoing",0,E7="Not validated",0,E7="Not applicable",0,E7="To evaluate",0),D7="Moderate",IFS(E7="Validated",1,E7="Ongoing",0,E7="Not validated",0,E7="Not applicable",0,E7="To evaluate",0))</f>
        <v>0</v>
      </c>
      <c r="M7" s="65">
        <f>IFS(D7="Top priority",IFS(E7="Validated",1.5,E7="Ongoing",1.5,E7="Not validated",1.5,E7="Not applicable",0,E7="To evaluate",1.5),D7="Recommanded",IFS(E7="Validated",1.25,E7="Ongoing",1.25,E7="Not validated",1.25,E7="Not applicable",0,E7="To evaluate",1.25),D7="Moderate",IFS(E7="Validated",1,E7="Ongoing",1,E7="Not validated",1,E7="Not applicable",0,E7="To evaluate",1))</f>
        <v>0</v>
      </c>
      <c r="N7" s="91" t="s">
        <v>524</v>
      </c>
      <c r="O7" s="67" t="s">
        <v>525</v>
      </c>
    </row>
    <row r="8" ht="74.25" customHeight="1">
      <c r="A8" s="68"/>
      <c r="B8" s="69"/>
      <c r="C8" s="70"/>
      <c r="D8" s="2"/>
      <c r="E8" s="2"/>
      <c r="F8" s="2"/>
      <c r="G8" s="3"/>
      <c r="H8" s="71" t="s">
        <v>526</v>
      </c>
      <c r="I8" s="2"/>
      <c r="J8" s="2"/>
      <c r="K8" s="2"/>
      <c r="L8" s="2"/>
      <c r="M8" s="2"/>
      <c r="N8" s="3"/>
      <c r="O8" s="69"/>
    </row>
    <row r="9" ht="12.75" customHeight="1">
      <c r="A9" s="68"/>
      <c r="B9" s="72" t="s">
        <v>527</v>
      </c>
      <c r="C9" s="73" t="s">
        <v>528</v>
      </c>
      <c r="D9" s="59" t="s">
        <v>60</v>
      </c>
      <c r="E9" s="74" t="s">
        <v>61</v>
      </c>
      <c r="F9" s="111" t="str">
        <f>IF(D9&lt;&gt;"Moderate", "15/11/2025", "")</f>
        <v>15/11/2025</v>
      </c>
      <c r="G9" s="76" t="s">
        <v>529</v>
      </c>
      <c r="H9" s="63" t="s">
        <v>70</v>
      </c>
      <c r="I9" s="63"/>
      <c r="J9" s="63"/>
      <c r="K9" s="63"/>
      <c r="L9" s="65">
        <f>IFS(D9="Top priority",IFS(E9="Validated",1.5,E9="Ongoing",0,E9="Not validated",0,E9="Not applicable",0,E9="To evaluate",0),D9="Recommanded",IFS(E9="Validated",1.25,E9="Ongoing",0,E9="Not validated",0,E9="Not applicable",0,E9="To evaluate",0),D9="Moderate",IFS(E9="Validated",1,E9="Ongoing",0,E9="Not validated",0,E9="Not applicable",0,E9="To evaluate",0))</f>
        <v>1.5</v>
      </c>
      <c r="M9" s="65">
        <f>IFS(D9="Top priority",IFS(E9="Validated",1.5,E9="Ongoing",1.5,E9="Not validated",1.5,E9="Not applicable",0,E9="To evaluate",1.5),D9="Recommanded",IFS(E9="Validated",1.25,E9="Ongoing",1.25,E9="Not validated",1.25,E9="Not applicable",0,E9="To evaluate",1.25),D9="Moderate",IFS(E9="Validated",1,E9="Ongoing",1,E9="Not validated",1,E9="Not applicable",0,E9="To evaluate",1))</f>
        <v>1.5</v>
      </c>
      <c r="N9" s="91" t="s">
        <v>64</v>
      </c>
      <c r="O9" s="67" t="s">
        <v>530</v>
      </c>
    </row>
    <row r="10" ht="82.5" customHeight="1">
      <c r="A10" s="68"/>
      <c r="B10" s="69"/>
      <c r="C10" s="77"/>
      <c r="D10" s="2"/>
      <c r="E10" s="2"/>
      <c r="F10" s="2"/>
      <c r="G10" s="3"/>
      <c r="H10" s="71" t="s">
        <v>531</v>
      </c>
      <c r="I10" s="2"/>
      <c r="J10" s="2"/>
      <c r="K10" s="2"/>
      <c r="L10" s="2"/>
      <c r="M10" s="2"/>
      <c r="N10" s="3"/>
      <c r="O10" s="69"/>
    </row>
    <row r="11" ht="12.75" customHeight="1">
      <c r="A11" s="68"/>
      <c r="B11" s="57" t="s">
        <v>532</v>
      </c>
      <c r="C11" s="58" t="s">
        <v>533</v>
      </c>
      <c r="D11" s="59" t="s">
        <v>60</v>
      </c>
      <c r="E11" s="79" t="s">
        <v>61</v>
      </c>
      <c r="F11" s="110" t="str">
        <f>IF(D11&lt;&gt;"Moderate", "15/11/2025", "")</f>
        <v>15/11/2025</v>
      </c>
      <c r="G11" s="62" t="s">
        <v>534</v>
      </c>
      <c r="H11" s="63" t="s">
        <v>70</v>
      </c>
      <c r="I11" s="63"/>
      <c r="J11" s="63"/>
      <c r="K11" s="63"/>
      <c r="L11" s="65">
        <f>IFS(D11="Top priority",IFS(E11="Validated",1.5,E11="Ongoing",0,E11="Not validated",0,E11="Not applicable",0,E11="To evaluate",0),D11="Recommanded",IFS(E11="Validated",1.25,E11="Ongoing",0,E11="Not validated",0,E11="Not applicable",0,E11="To evaluate",0),D11="Moderate",IFS(E11="Validated",1,E11="Ongoing",0,E11="Not validated",0,E11="Not applicable",0,E11="To evaluate",0))</f>
        <v>1.5</v>
      </c>
      <c r="M11" s="65">
        <f>IFS(D11="Top priority",IFS(E11="Validated",1.5,E11="Ongoing",1.5,E11="Not validated",1.5,E11="Not applicable",0,E11="To evaluate",1.5),D11="Recommanded",IFS(E11="Validated",1.25,E11="Ongoing",1.25,E11="Not validated",1.25,E11="Not applicable",0,E11="To evaluate",1.25),D11="Moderate",IFS(E11="Validated",1,E11="Ongoing",1,E11="Not validated",1,E11="Not applicable",0,E11="To evaluate",1))</f>
        <v>1.5</v>
      </c>
      <c r="N11" s="91" t="s">
        <v>64</v>
      </c>
      <c r="O11" s="67" t="s">
        <v>535</v>
      </c>
    </row>
    <row r="12" ht="78.0" customHeight="1">
      <c r="A12" s="68"/>
      <c r="B12" s="69"/>
      <c r="C12" s="70"/>
      <c r="D12" s="2"/>
      <c r="E12" s="2"/>
      <c r="F12" s="2"/>
      <c r="G12" s="3"/>
      <c r="H12" s="71" t="s">
        <v>536</v>
      </c>
      <c r="I12" s="2"/>
      <c r="J12" s="2"/>
      <c r="K12" s="2"/>
      <c r="L12" s="2"/>
      <c r="M12" s="2"/>
      <c r="N12" s="3"/>
      <c r="O12" s="69"/>
    </row>
    <row r="13" ht="12.75" customHeight="1">
      <c r="A13" s="68"/>
      <c r="B13" s="72" t="s">
        <v>537</v>
      </c>
      <c r="C13" s="73" t="s">
        <v>538</v>
      </c>
      <c r="D13" s="78" t="s">
        <v>75</v>
      </c>
      <c r="E13" s="74" t="s">
        <v>61</v>
      </c>
      <c r="F13" s="111" t="str">
        <f>IF(D13&lt;&gt;"Moderate", "15/11/2025", "")</f>
        <v>15/11/2025</v>
      </c>
      <c r="G13" s="76" t="s">
        <v>539</v>
      </c>
      <c r="H13" s="63" t="s">
        <v>82</v>
      </c>
      <c r="I13" s="63"/>
      <c r="J13" s="63"/>
      <c r="K13" s="63"/>
      <c r="L13" s="65">
        <f>IFS(D13="Top priority",IFS(E13="Validated",1.5,E13="Ongoing",0,E13="Not validated",0,E13="Not applicable",0,E13="To evaluate",0),D13="Recommanded",IFS(E13="Validated",1.25,E13="Ongoing",0,E13="Not validated",0,E13="Not applicable",0,E13="To evaluate",0),D13="Moderate",IFS(E13="Validated",1,E13="Ongoing",0,E13="Not validated",0,E13="Not applicable",0,E13="To evaluate",0))</f>
        <v>1.25</v>
      </c>
      <c r="M13" s="65">
        <f>IFS(D13="Top priority",IFS(E13="Validated",1.5,E13="Ongoing",1.5,E13="Not validated",1.5,E13="Not applicable",0,E13="To evaluate",1.5),D13="Recommanded",IFS(E13="Validated",1.25,E13="Ongoing",1.25,E13="Not validated",1.25,E13="Not applicable",0,E13="To evaluate",1.25),D13="Moderate",IFS(E13="Validated",1,E13="Ongoing",1,E13="Not validated",1,E13="Not applicable",0,E13="To evaluate",1))</f>
        <v>1.25</v>
      </c>
      <c r="N13" s="91" t="s">
        <v>64</v>
      </c>
      <c r="O13" s="67" t="s">
        <v>540</v>
      </c>
    </row>
    <row r="14" ht="51.0" customHeight="1">
      <c r="A14" s="68"/>
      <c r="B14" s="69"/>
      <c r="C14" s="77"/>
      <c r="D14" s="2"/>
      <c r="E14" s="2"/>
      <c r="F14" s="2"/>
      <c r="G14" s="3"/>
      <c r="H14" s="71" t="s">
        <v>541</v>
      </c>
      <c r="I14" s="2"/>
      <c r="J14" s="2"/>
      <c r="K14" s="2"/>
      <c r="L14" s="2"/>
      <c r="M14" s="2"/>
      <c r="N14" s="3"/>
      <c r="O14" s="69"/>
    </row>
    <row r="15" ht="12.75" customHeight="1">
      <c r="A15" s="68"/>
      <c r="B15" s="57" t="s">
        <v>542</v>
      </c>
      <c r="C15" s="58" t="s">
        <v>543</v>
      </c>
      <c r="D15" s="59" t="s">
        <v>60</v>
      </c>
      <c r="E15" s="79" t="s">
        <v>194</v>
      </c>
      <c r="F15" s="110" t="str">
        <f>IF(D15&lt;&gt;"Moderate", "15/11/2025", "")</f>
        <v>15/11/2025</v>
      </c>
      <c r="G15" s="62" t="s">
        <v>544</v>
      </c>
      <c r="H15" s="63" t="s">
        <v>70</v>
      </c>
      <c r="I15" s="64" t="s">
        <v>545</v>
      </c>
      <c r="J15" s="64" t="s">
        <v>368</v>
      </c>
      <c r="K15" s="64" t="s">
        <v>546</v>
      </c>
      <c r="L15" s="65">
        <f>IFS(D15="Top priority",IFS(E15="Validated",1.5,E15="Ongoing",0,E15="Not validated",0,E15="Not applicable",0,E15="To evaluate",0),D15="Recommanded",IFS(E15="Validated",1.25,E15="Ongoing",0,E15="Not validated",0,E15="Not applicable",0,E15="To evaluate",0),D15="Moderate",IFS(E15="Validated",1,E15="Ongoing",0,E15="Not validated",0,E15="Not applicable",0,E15="To evaluate",0))</f>
        <v>0</v>
      </c>
      <c r="M15" s="65">
        <f>IFS(D15="Top priority",IFS(E15="Validated",1.5,E15="Ongoing",1.5,E15="Not validated",1.5,E15="Not applicable",0,E15="To evaluate",1.5),D15="Recommanded",IFS(E15="Validated",1.25,E15="Ongoing",1.25,E15="Not validated",1.25,E15="Not applicable",0,E15="To evaluate",1.25),D15="Moderate",IFS(E15="Validated",1,E15="Ongoing",1,E15="Not validated",1,E15="Not applicable",0,E15="To evaluate",1))</f>
        <v>1.5</v>
      </c>
      <c r="N15" s="91" t="s">
        <v>64</v>
      </c>
      <c r="O15" s="67" t="s">
        <v>547</v>
      </c>
    </row>
    <row r="16" ht="62.25" customHeight="1">
      <c r="A16" s="69"/>
      <c r="B16" s="69"/>
      <c r="C16" s="70"/>
      <c r="D16" s="2"/>
      <c r="E16" s="2"/>
      <c r="F16" s="2"/>
      <c r="G16" s="3"/>
      <c r="H16" s="71" t="s">
        <v>548</v>
      </c>
      <c r="I16" s="2"/>
      <c r="J16" s="2"/>
      <c r="K16" s="2"/>
      <c r="L16" s="2"/>
      <c r="M16" s="2"/>
      <c r="N16" s="3"/>
      <c r="O16" s="69"/>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3">
    <mergeCell ref="B15:B16"/>
    <mergeCell ref="O15:O16"/>
    <mergeCell ref="C16:G16"/>
    <mergeCell ref="H16:N16"/>
    <mergeCell ref="A1:G1"/>
    <mergeCell ref="H1:K1"/>
    <mergeCell ref="L1:O1"/>
    <mergeCell ref="A2:B2"/>
    <mergeCell ref="A3:A16"/>
    <mergeCell ref="B3:B4"/>
    <mergeCell ref="B5:B6"/>
    <mergeCell ref="C4:G4"/>
    <mergeCell ref="H4:N4"/>
    <mergeCell ref="O3:O4"/>
    <mergeCell ref="O5:O6"/>
    <mergeCell ref="C6:G6"/>
    <mergeCell ref="H6:N6"/>
    <mergeCell ref="B7:B8"/>
    <mergeCell ref="O7:O8"/>
    <mergeCell ref="C8:G8"/>
    <mergeCell ref="H8:N8"/>
    <mergeCell ref="B9:B10"/>
    <mergeCell ref="O9:O10"/>
    <mergeCell ref="C10:G10"/>
    <mergeCell ref="H10:N10"/>
    <mergeCell ref="B11:B12"/>
    <mergeCell ref="O11:O12"/>
    <mergeCell ref="C12:G12"/>
    <mergeCell ref="H12:N12"/>
    <mergeCell ref="B13:B14"/>
    <mergeCell ref="O13:O14"/>
    <mergeCell ref="C14:G14"/>
    <mergeCell ref="H14:N14"/>
  </mergeCells>
  <dataValidations>
    <dataValidation type="list" allowBlank="1" showErrorMessage="1" sqref="E3">
      <formula1>"Ongoing,Validated,Not validated,To evaluate"</formula1>
    </dataValidation>
    <dataValidation type="list" allowBlank="1" showErrorMessage="1" sqref="E5 E7 E9 E11 E13 E15">
      <formula1>"Ongoing,Validated,Not validated,Not applicable,To evaluate"</formula1>
    </dataValidation>
  </dataValidations>
  <printOptions/>
  <pageMargins bottom="0.454166666666667" footer="0.0" header="0.0" left="0.315277777777778" right="0.315277777777778" top="0.315277777777778"/>
  <pageSetup paperSize="9" orientation="portrait"/>
  <headerFooter>
    <oddFooter>&amp;LEcodesign declaration dated &amp;D&amp;R000000Page &amp;P / </oddFooter>
  </headerFooter>
  <drawing r:id="rId1"/>
</worksheet>
</file>